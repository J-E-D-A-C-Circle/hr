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0532dvla\Downloads\"/>
    </mc:Choice>
  </mc:AlternateContent>
  <xr:revisionPtr revIDLastSave="0" documentId="8_{AA6DF132-CBFD-490E-8AE5-0530310927B0}" xr6:coauthVersionLast="47" xr6:coauthVersionMax="47" xr10:uidLastSave="{00000000-0000-0000-0000-000000000000}"/>
  <bookViews>
    <workbookView xWindow="-120" yWindow="-120" windowWidth="29040" windowHeight="15720" xr2:uid="{9DF9AA56-B869-4382-B160-ED9184E1F781}"/>
  </bookViews>
  <sheets>
    <sheet name="CORRECT JULY" sheetId="1" r:id="rId1"/>
  </sheets>
  <definedNames>
    <definedName name="_xlnm._FilterDatabase" localSheetId="0" hidden="1">'CORRECT JULY'!$G$1:$G$734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05" i="1" l="1"/>
  <c r="D697" i="1"/>
  <c r="D693" i="1"/>
  <c r="D698" i="1" s="1"/>
  <c r="D690" i="1"/>
  <c r="O683" i="1"/>
  <c r="H683" i="1"/>
  <c r="G683" i="1"/>
  <c r="N682" i="1"/>
  <c r="M682" i="1"/>
  <c r="L682" i="1"/>
  <c r="K682" i="1"/>
  <c r="P682" i="1" s="1"/>
  <c r="Q682" i="1" s="1"/>
  <c r="J682" i="1"/>
  <c r="P681" i="1"/>
  <c r="Q681" i="1" s="1"/>
  <c r="N681" i="1"/>
  <c r="L681" i="1"/>
  <c r="M681" i="1" s="1"/>
  <c r="K681" i="1"/>
  <c r="J681" i="1"/>
  <c r="J680" i="1"/>
  <c r="J679" i="1"/>
  <c r="L678" i="1"/>
  <c r="K678" i="1"/>
  <c r="P678" i="1" s="1"/>
  <c r="Q678" i="1" s="1"/>
  <c r="J678" i="1"/>
  <c r="N678" i="1" s="1"/>
  <c r="L677" i="1"/>
  <c r="M677" i="1" s="1"/>
  <c r="K677" i="1"/>
  <c r="P677" i="1" s="1"/>
  <c r="Q677" i="1" s="1"/>
  <c r="J677" i="1"/>
  <c r="N677" i="1" s="1"/>
  <c r="N676" i="1"/>
  <c r="M676" i="1"/>
  <c r="L676" i="1"/>
  <c r="K676" i="1"/>
  <c r="P676" i="1" s="1"/>
  <c r="J676" i="1"/>
  <c r="Q676" i="1" s="1"/>
  <c r="J675" i="1"/>
  <c r="M674" i="1"/>
  <c r="L674" i="1"/>
  <c r="J674" i="1"/>
  <c r="K674" i="1" s="1"/>
  <c r="J673" i="1"/>
  <c r="K672" i="1"/>
  <c r="P672" i="1" s="1"/>
  <c r="J672" i="1"/>
  <c r="L671" i="1"/>
  <c r="M671" i="1" s="1"/>
  <c r="J671" i="1"/>
  <c r="K671" i="1" s="1"/>
  <c r="P671" i="1" s="1"/>
  <c r="N670" i="1"/>
  <c r="M670" i="1"/>
  <c r="L670" i="1"/>
  <c r="K670" i="1"/>
  <c r="P670" i="1" s="1"/>
  <c r="Q670" i="1" s="1"/>
  <c r="J670" i="1"/>
  <c r="P669" i="1"/>
  <c r="Q669" i="1" s="1"/>
  <c r="N669" i="1"/>
  <c r="L669" i="1"/>
  <c r="M669" i="1" s="1"/>
  <c r="K669" i="1"/>
  <c r="J669" i="1"/>
  <c r="J668" i="1"/>
  <c r="J667" i="1"/>
  <c r="L666" i="1"/>
  <c r="K666" i="1"/>
  <c r="P666" i="1" s="1"/>
  <c r="Q666" i="1" s="1"/>
  <c r="J666" i="1"/>
  <c r="N666" i="1" s="1"/>
  <c r="L665" i="1"/>
  <c r="M665" i="1" s="1"/>
  <c r="K665" i="1"/>
  <c r="P665" i="1" s="1"/>
  <c r="Q665" i="1" s="1"/>
  <c r="J665" i="1"/>
  <c r="N665" i="1" s="1"/>
  <c r="N664" i="1"/>
  <c r="M664" i="1"/>
  <c r="L664" i="1"/>
  <c r="K664" i="1"/>
  <c r="P664" i="1" s="1"/>
  <c r="J664" i="1"/>
  <c r="Q664" i="1" s="1"/>
  <c r="L663" i="1"/>
  <c r="M663" i="1" s="1"/>
  <c r="K663" i="1"/>
  <c r="J663" i="1"/>
  <c r="N663" i="1" s="1"/>
  <c r="L662" i="1"/>
  <c r="K662" i="1"/>
  <c r="J662" i="1"/>
  <c r="N662" i="1" s="1"/>
  <c r="J661" i="1"/>
  <c r="J660" i="1"/>
  <c r="J659" i="1"/>
  <c r="L658" i="1"/>
  <c r="K658" i="1"/>
  <c r="P658" i="1" s="1"/>
  <c r="Q658" i="1" s="1"/>
  <c r="J658" i="1"/>
  <c r="N658" i="1" s="1"/>
  <c r="L657" i="1"/>
  <c r="M657" i="1" s="1"/>
  <c r="K657" i="1"/>
  <c r="P657" i="1" s="1"/>
  <c r="Q657" i="1" s="1"/>
  <c r="J657" i="1"/>
  <c r="N657" i="1" s="1"/>
  <c r="N656" i="1"/>
  <c r="M656" i="1"/>
  <c r="L656" i="1"/>
  <c r="K656" i="1"/>
  <c r="P656" i="1" s="1"/>
  <c r="J656" i="1"/>
  <c r="J655" i="1"/>
  <c r="M654" i="1"/>
  <c r="L654" i="1"/>
  <c r="J654" i="1"/>
  <c r="K654" i="1" s="1"/>
  <c r="J653" i="1"/>
  <c r="K652" i="1"/>
  <c r="P652" i="1" s="1"/>
  <c r="J652" i="1"/>
  <c r="L651" i="1"/>
  <c r="M651" i="1" s="1"/>
  <c r="J651" i="1"/>
  <c r="K651" i="1" s="1"/>
  <c r="P651" i="1" s="1"/>
  <c r="N650" i="1"/>
  <c r="M650" i="1"/>
  <c r="L650" i="1"/>
  <c r="K650" i="1"/>
  <c r="P650" i="1" s="1"/>
  <c r="Q650" i="1" s="1"/>
  <c r="J650" i="1"/>
  <c r="P649" i="1"/>
  <c r="Q649" i="1" s="1"/>
  <c r="N649" i="1"/>
  <c r="L649" i="1"/>
  <c r="M649" i="1" s="1"/>
  <c r="K649" i="1"/>
  <c r="J649" i="1"/>
  <c r="J648" i="1"/>
  <c r="J647" i="1"/>
  <c r="L646" i="1"/>
  <c r="K646" i="1"/>
  <c r="P646" i="1" s="1"/>
  <c r="Q646" i="1" s="1"/>
  <c r="J646" i="1"/>
  <c r="N646" i="1" s="1"/>
  <c r="L645" i="1"/>
  <c r="M645" i="1" s="1"/>
  <c r="K645" i="1"/>
  <c r="P645" i="1" s="1"/>
  <c r="Q645" i="1" s="1"/>
  <c r="J645" i="1"/>
  <c r="N645" i="1" s="1"/>
  <c r="N644" i="1"/>
  <c r="M644" i="1"/>
  <c r="L644" i="1"/>
  <c r="K644" i="1"/>
  <c r="P644" i="1" s="1"/>
  <c r="J644" i="1"/>
  <c r="Q644" i="1" s="1"/>
  <c r="J643" i="1"/>
  <c r="M642" i="1"/>
  <c r="L642" i="1"/>
  <c r="J642" i="1"/>
  <c r="K642" i="1" s="1"/>
  <c r="J641" i="1"/>
  <c r="K640" i="1"/>
  <c r="P640" i="1" s="1"/>
  <c r="J640" i="1"/>
  <c r="L639" i="1"/>
  <c r="M639" i="1" s="1"/>
  <c r="J639" i="1"/>
  <c r="K639" i="1" s="1"/>
  <c r="P639" i="1" s="1"/>
  <c r="N638" i="1"/>
  <c r="M638" i="1"/>
  <c r="L638" i="1"/>
  <c r="K638" i="1"/>
  <c r="P638" i="1" s="1"/>
  <c r="Q638" i="1" s="1"/>
  <c r="J638" i="1"/>
  <c r="P637" i="1"/>
  <c r="Q637" i="1" s="1"/>
  <c r="N637" i="1"/>
  <c r="L637" i="1"/>
  <c r="M637" i="1" s="1"/>
  <c r="K637" i="1"/>
  <c r="J637" i="1"/>
  <c r="J636" i="1"/>
  <c r="J635" i="1"/>
  <c r="L634" i="1"/>
  <c r="K634" i="1"/>
  <c r="P634" i="1" s="1"/>
  <c r="Q634" i="1" s="1"/>
  <c r="J634" i="1"/>
  <c r="N634" i="1" s="1"/>
  <c r="L633" i="1"/>
  <c r="M633" i="1" s="1"/>
  <c r="K633" i="1"/>
  <c r="P633" i="1" s="1"/>
  <c r="Q633" i="1" s="1"/>
  <c r="J633" i="1"/>
  <c r="N633" i="1" s="1"/>
  <c r="N632" i="1"/>
  <c r="M632" i="1"/>
  <c r="L632" i="1"/>
  <c r="K632" i="1"/>
  <c r="P632" i="1" s="1"/>
  <c r="J632" i="1"/>
  <c r="Q632" i="1" s="1"/>
  <c r="J631" i="1"/>
  <c r="M630" i="1"/>
  <c r="L630" i="1"/>
  <c r="J630" i="1"/>
  <c r="K630" i="1" s="1"/>
  <c r="J629" i="1"/>
  <c r="K628" i="1"/>
  <c r="P628" i="1" s="1"/>
  <c r="J628" i="1"/>
  <c r="Q628" i="1" s="1"/>
  <c r="L627" i="1"/>
  <c r="M627" i="1" s="1"/>
  <c r="J627" i="1"/>
  <c r="K627" i="1" s="1"/>
  <c r="P627" i="1" s="1"/>
  <c r="N626" i="1"/>
  <c r="M626" i="1"/>
  <c r="L626" i="1"/>
  <c r="K626" i="1"/>
  <c r="P626" i="1" s="1"/>
  <c r="Q626" i="1" s="1"/>
  <c r="J626" i="1"/>
  <c r="P625" i="1"/>
  <c r="Q625" i="1" s="1"/>
  <c r="N625" i="1"/>
  <c r="L625" i="1"/>
  <c r="M625" i="1" s="1"/>
  <c r="K625" i="1"/>
  <c r="J625" i="1"/>
  <c r="J624" i="1"/>
  <c r="J623" i="1"/>
  <c r="L622" i="1"/>
  <c r="K622" i="1"/>
  <c r="P622" i="1" s="1"/>
  <c r="Q622" i="1" s="1"/>
  <c r="J622" i="1"/>
  <c r="N622" i="1" s="1"/>
  <c r="L621" i="1"/>
  <c r="M621" i="1" s="1"/>
  <c r="K621" i="1"/>
  <c r="P621" i="1" s="1"/>
  <c r="Q621" i="1" s="1"/>
  <c r="J621" i="1"/>
  <c r="N621" i="1" s="1"/>
  <c r="N620" i="1"/>
  <c r="M620" i="1"/>
  <c r="L620" i="1"/>
  <c r="K620" i="1"/>
  <c r="P620" i="1" s="1"/>
  <c r="J620" i="1"/>
  <c r="J619" i="1"/>
  <c r="M618" i="1"/>
  <c r="L618" i="1"/>
  <c r="J618" i="1"/>
  <c r="K618" i="1" s="1"/>
  <c r="J617" i="1"/>
  <c r="K616" i="1"/>
  <c r="P616" i="1" s="1"/>
  <c r="J616" i="1"/>
  <c r="L615" i="1"/>
  <c r="M615" i="1" s="1"/>
  <c r="J615" i="1"/>
  <c r="K615" i="1" s="1"/>
  <c r="P615" i="1" s="1"/>
  <c r="N614" i="1"/>
  <c r="M614" i="1"/>
  <c r="L614" i="1"/>
  <c r="K614" i="1"/>
  <c r="P614" i="1" s="1"/>
  <c r="Q614" i="1" s="1"/>
  <c r="J614" i="1"/>
  <c r="P613" i="1"/>
  <c r="Q613" i="1" s="1"/>
  <c r="N613" i="1"/>
  <c r="L613" i="1"/>
  <c r="M613" i="1" s="1"/>
  <c r="K613" i="1"/>
  <c r="J613" i="1"/>
  <c r="J612" i="1"/>
  <c r="J611" i="1"/>
  <c r="L610" i="1"/>
  <c r="K610" i="1"/>
  <c r="P610" i="1" s="1"/>
  <c r="Q610" i="1" s="1"/>
  <c r="J610" i="1"/>
  <c r="N610" i="1" s="1"/>
  <c r="L609" i="1"/>
  <c r="M609" i="1" s="1"/>
  <c r="K609" i="1"/>
  <c r="P609" i="1" s="1"/>
  <c r="Q609" i="1" s="1"/>
  <c r="J609" i="1"/>
  <c r="N609" i="1" s="1"/>
  <c r="N608" i="1"/>
  <c r="M608" i="1"/>
  <c r="L608" i="1"/>
  <c r="K608" i="1"/>
  <c r="P608" i="1" s="1"/>
  <c r="J608" i="1"/>
  <c r="Q608" i="1" s="1"/>
  <c r="J607" i="1"/>
  <c r="M606" i="1"/>
  <c r="L606" i="1"/>
  <c r="J606" i="1"/>
  <c r="K606" i="1" s="1"/>
  <c r="J605" i="1"/>
  <c r="K604" i="1"/>
  <c r="P604" i="1" s="1"/>
  <c r="J604" i="1"/>
  <c r="L603" i="1"/>
  <c r="M603" i="1" s="1"/>
  <c r="J603" i="1"/>
  <c r="K603" i="1" s="1"/>
  <c r="P603" i="1" s="1"/>
  <c r="N602" i="1"/>
  <c r="M602" i="1"/>
  <c r="L602" i="1"/>
  <c r="K602" i="1"/>
  <c r="P602" i="1" s="1"/>
  <c r="Q602" i="1" s="1"/>
  <c r="J602" i="1"/>
  <c r="P601" i="1"/>
  <c r="Q601" i="1" s="1"/>
  <c r="N601" i="1"/>
  <c r="L601" i="1"/>
  <c r="M601" i="1" s="1"/>
  <c r="K601" i="1"/>
  <c r="J601" i="1"/>
  <c r="J600" i="1"/>
  <c r="J599" i="1"/>
  <c r="L598" i="1"/>
  <c r="K598" i="1"/>
  <c r="P598" i="1" s="1"/>
  <c r="Q598" i="1" s="1"/>
  <c r="J598" i="1"/>
  <c r="N598" i="1" s="1"/>
  <c r="L597" i="1"/>
  <c r="M597" i="1" s="1"/>
  <c r="K597" i="1"/>
  <c r="P597" i="1" s="1"/>
  <c r="Q597" i="1" s="1"/>
  <c r="J597" i="1"/>
  <c r="N597" i="1" s="1"/>
  <c r="N596" i="1"/>
  <c r="M596" i="1"/>
  <c r="L596" i="1"/>
  <c r="K596" i="1"/>
  <c r="P596" i="1" s="1"/>
  <c r="J596" i="1"/>
  <c r="Q596" i="1" s="1"/>
  <c r="J595" i="1"/>
  <c r="N594" i="1"/>
  <c r="M594" i="1"/>
  <c r="L594" i="1"/>
  <c r="K594" i="1"/>
  <c r="J594" i="1"/>
  <c r="J593" i="1"/>
  <c r="N592" i="1"/>
  <c r="M592" i="1"/>
  <c r="L592" i="1"/>
  <c r="K592" i="1"/>
  <c r="J592" i="1"/>
  <c r="J591" i="1"/>
  <c r="N590" i="1"/>
  <c r="M590" i="1"/>
  <c r="L590" i="1"/>
  <c r="K590" i="1"/>
  <c r="J590" i="1"/>
  <c r="J589" i="1"/>
  <c r="N588" i="1"/>
  <c r="M588" i="1"/>
  <c r="L588" i="1"/>
  <c r="K588" i="1"/>
  <c r="J588" i="1"/>
  <c r="J587" i="1"/>
  <c r="M586" i="1"/>
  <c r="L586" i="1"/>
  <c r="J586" i="1"/>
  <c r="K586" i="1" s="1"/>
  <c r="J585" i="1"/>
  <c r="L585" i="1" s="1"/>
  <c r="M585" i="1" s="1"/>
  <c r="M584" i="1"/>
  <c r="L584" i="1"/>
  <c r="J584" i="1"/>
  <c r="K584" i="1" s="1"/>
  <c r="J583" i="1"/>
  <c r="L583" i="1" s="1"/>
  <c r="M583" i="1" s="1"/>
  <c r="M582" i="1"/>
  <c r="L582" i="1"/>
  <c r="J582" i="1"/>
  <c r="K582" i="1" s="1"/>
  <c r="J581" i="1"/>
  <c r="L581" i="1" s="1"/>
  <c r="M581" i="1" s="1"/>
  <c r="M580" i="1"/>
  <c r="L580" i="1"/>
  <c r="J580" i="1"/>
  <c r="K580" i="1" s="1"/>
  <c r="J579" i="1"/>
  <c r="K578" i="1"/>
  <c r="P578" i="1" s="1"/>
  <c r="J578" i="1"/>
  <c r="Q578" i="1" s="1"/>
  <c r="L577" i="1"/>
  <c r="M577" i="1" s="1"/>
  <c r="J577" i="1"/>
  <c r="K577" i="1" s="1"/>
  <c r="P577" i="1" s="1"/>
  <c r="N576" i="1"/>
  <c r="M576" i="1"/>
  <c r="L576" i="1"/>
  <c r="K576" i="1"/>
  <c r="P576" i="1" s="1"/>
  <c r="Q576" i="1" s="1"/>
  <c r="J576" i="1"/>
  <c r="P575" i="1"/>
  <c r="Q575" i="1" s="1"/>
  <c r="N575" i="1"/>
  <c r="L575" i="1"/>
  <c r="M575" i="1" s="1"/>
  <c r="K575" i="1"/>
  <c r="J575" i="1"/>
  <c r="J574" i="1"/>
  <c r="N573" i="1"/>
  <c r="L573" i="1"/>
  <c r="M573" i="1" s="1"/>
  <c r="K573" i="1"/>
  <c r="J573" i="1"/>
  <c r="J572" i="1"/>
  <c r="J571" i="1"/>
  <c r="L570" i="1"/>
  <c r="K570" i="1"/>
  <c r="P570" i="1" s="1"/>
  <c r="Q570" i="1" s="1"/>
  <c r="J570" i="1"/>
  <c r="N570" i="1" s="1"/>
  <c r="L569" i="1"/>
  <c r="M569" i="1" s="1"/>
  <c r="K569" i="1"/>
  <c r="P569" i="1" s="1"/>
  <c r="Q569" i="1" s="1"/>
  <c r="J569" i="1"/>
  <c r="N569" i="1" s="1"/>
  <c r="N568" i="1"/>
  <c r="M568" i="1"/>
  <c r="L568" i="1"/>
  <c r="K568" i="1"/>
  <c r="P568" i="1" s="1"/>
  <c r="J568" i="1"/>
  <c r="J567" i="1"/>
  <c r="M566" i="1"/>
  <c r="L566" i="1"/>
  <c r="J566" i="1"/>
  <c r="K566" i="1" s="1"/>
  <c r="J565" i="1"/>
  <c r="K564" i="1"/>
  <c r="P564" i="1" s="1"/>
  <c r="J564" i="1"/>
  <c r="L563" i="1"/>
  <c r="M563" i="1" s="1"/>
  <c r="J563" i="1"/>
  <c r="K563" i="1" s="1"/>
  <c r="P563" i="1" s="1"/>
  <c r="N562" i="1"/>
  <c r="M562" i="1"/>
  <c r="L562" i="1"/>
  <c r="K562" i="1"/>
  <c r="P562" i="1" s="1"/>
  <c r="Q562" i="1" s="1"/>
  <c r="J562" i="1"/>
  <c r="P561" i="1"/>
  <c r="Q561" i="1" s="1"/>
  <c r="N561" i="1"/>
  <c r="L561" i="1"/>
  <c r="M561" i="1" s="1"/>
  <c r="K561" i="1"/>
  <c r="J561" i="1"/>
  <c r="J560" i="1"/>
  <c r="J559" i="1"/>
  <c r="L558" i="1"/>
  <c r="K558" i="1"/>
  <c r="P558" i="1" s="1"/>
  <c r="Q558" i="1" s="1"/>
  <c r="J558" i="1"/>
  <c r="N558" i="1" s="1"/>
  <c r="L557" i="1"/>
  <c r="M557" i="1" s="1"/>
  <c r="K557" i="1"/>
  <c r="P557" i="1" s="1"/>
  <c r="Q557" i="1" s="1"/>
  <c r="J557" i="1"/>
  <c r="N557" i="1" s="1"/>
  <c r="N556" i="1"/>
  <c r="M556" i="1"/>
  <c r="L556" i="1"/>
  <c r="K556" i="1"/>
  <c r="P556" i="1" s="1"/>
  <c r="J556" i="1"/>
  <c r="Q556" i="1" s="1"/>
  <c r="J555" i="1"/>
  <c r="N554" i="1"/>
  <c r="M554" i="1"/>
  <c r="L554" i="1"/>
  <c r="K554" i="1"/>
  <c r="J554" i="1"/>
  <c r="J553" i="1"/>
  <c r="M552" i="1"/>
  <c r="L552" i="1"/>
  <c r="J552" i="1"/>
  <c r="K552" i="1" s="1"/>
  <c r="J551" i="1"/>
  <c r="K550" i="1"/>
  <c r="P550" i="1" s="1"/>
  <c r="J550" i="1"/>
  <c r="Q550" i="1" s="1"/>
  <c r="L549" i="1"/>
  <c r="M549" i="1" s="1"/>
  <c r="J549" i="1"/>
  <c r="K549" i="1" s="1"/>
  <c r="P549" i="1" s="1"/>
  <c r="M548" i="1"/>
  <c r="L548" i="1"/>
  <c r="J548" i="1"/>
  <c r="K548" i="1" s="1"/>
  <c r="P547" i="1"/>
  <c r="Q547" i="1" s="1"/>
  <c r="N547" i="1"/>
  <c r="L547" i="1"/>
  <c r="M547" i="1" s="1"/>
  <c r="K547" i="1"/>
  <c r="J547" i="1"/>
  <c r="J546" i="1"/>
  <c r="J545" i="1"/>
  <c r="L544" i="1"/>
  <c r="K544" i="1"/>
  <c r="P544" i="1" s="1"/>
  <c r="Q544" i="1" s="1"/>
  <c r="J544" i="1"/>
  <c r="N544" i="1" s="1"/>
  <c r="L543" i="1"/>
  <c r="M543" i="1" s="1"/>
  <c r="K543" i="1"/>
  <c r="P543" i="1" s="1"/>
  <c r="Q543" i="1" s="1"/>
  <c r="J543" i="1"/>
  <c r="N543" i="1" s="1"/>
  <c r="N542" i="1"/>
  <c r="M542" i="1"/>
  <c r="L542" i="1"/>
  <c r="K542" i="1"/>
  <c r="P542" i="1" s="1"/>
  <c r="J542" i="1"/>
  <c r="Q542" i="1" s="1"/>
  <c r="J541" i="1"/>
  <c r="M540" i="1"/>
  <c r="L540" i="1"/>
  <c r="J540" i="1"/>
  <c r="K540" i="1" s="1"/>
  <c r="J539" i="1"/>
  <c r="K538" i="1"/>
  <c r="P538" i="1" s="1"/>
  <c r="J538" i="1"/>
  <c r="Q538" i="1" s="1"/>
  <c r="L526" i="1"/>
  <c r="M526" i="1" s="1"/>
  <c r="J526" i="1"/>
  <c r="K526" i="1" s="1"/>
  <c r="P526" i="1" s="1"/>
  <c r="M525" i="1"/>
  <c r="L525" i="1"/>
  <c r="J525" i="1"/>
  <c r="K525" i="1" s="1"/>
  <c r="P524" i="1"/>
  <c r="Q524" i="1" s="1"/>
  <c r="N524" i="1"/>
  <c r="L524" i="1"/>
  <c r="M524" i="1" s="1"/>
  <c r="K524" i="1"/>
  <c r="J524" i="1"/>
  <c r="J523" i="1"/>
  <c r="J522" i="1"/>
  <c r="L521" i="1"/>
  <c r="K521" i="1"/>
  <c r="P521" i="1" s="1"/>
  <c r="Q521" i="1" s="1"/>
  <c r="J521" i="1"/>
  <c r="N521" i="1" s="1"/>
  <c r="L520" i="1"/>
  <c r="M520" i="1" s="1"/>
  <c r="K520" i="1"/>
  <c r="P520" i="1" s="1"/>
  <c r="Q520" i="1" s="1"/>
  <c r="J520" i="1"/>
  <c r="N520" i="1" s="1"/>
  <c r="N519" i="1"/>
  <c r="M519" i="1"/>
  <c r="L519" i="1"/>
  <c r="K519" i="1"/>
  <c r="P519" i="1" s="1"/>
  <c r="J519" i="1"/>
  <c r="J518" i="1"/>
  <c r="M517" i="1"/>
  <c r="L517" i="1"/>
  <c r="J517" i="1"/>
  <c r="K517" i="1" s="1"/>
  <c r="J516" i="1"/>
  <c r="K515" i="1"/>
  <c r="P515" i="1" s="1"/>
  <c r="J515" i="1"/>
  <c r="Q515" i="1" s="1"/>
  <c r="L514" i="1"/>
  <c r="M514" i="1" s="1"/>
  <c r="J514" i="1"/>
  <c r="K514" i="1" s="1"/>
  <c r="P514" i="1" s="1"/>
  <c r="M513" i="1"/>
  <c r="L513" i="1"/>
  <c r="J513" i="1"/>
  <c r="K513" i="1" s="1"/>
  <c r="P512" i="1"/>
  <c r="Q512" i="1" s="1"/>
  <c r="N512" i="1"/>
  <c r="L512" i="1"/>
  <c r="M512" i="1" s="1"/>
  <c r="K512" i="1"/>
  <c r="J512" i="1"/>
  <c r="J511" i="1"/>
  <c r="J510" i="1"/>
  <c r="L509" i="1"/>
  <c r="K509" i="1"/>
  <c r="P509" i="1" s="1"/>
  <c r="Q509" i="1" s="1"/>
  <c r="J509" i="1"/>
  <c r="N509" i="1" s="1"/>
  <c r="L508" i="1"/>
  <c r="M508" i="1" s="1"/>
  <c r="K508" i="1"/>
  <c r="P508" i="1" s="1"/>
  <c r="Q508" i="1" s="1"/>
  <c r="J508" i="1"/>
  <c r="N508" i="1" s="1"/>
  <c r="N507" i="1"/>
  <c r="M507" i="1"/>
  <c r="L507" i="1"/>
  <c r="K507" i="1"/>
  <c r="P507" i="1" s="1"/>
  <c r="J507" i="1"/>
  <c r="Q507" i="1" s="1"/>
  <c r="J506" i="1"/>
  <c r="M505" i="1"/>
  <c r="L505" i="1"/>
  <c r="J505" i="1"/>
  <c r="K505" i="1" s="1"/>
  <c r="J504" i="1"/>
  <c r="K503" i="1"/>
  <c r="P503" i="1" s="1"/>
  <c r="J503" i="1"/>
  <c r="Q503" i="1" s="1"/>
  <c r="L502" i="1"/>
  <c r="M502" i="1" s="1"/>
  <c r="J502" i="1"/>
  <c r="K502" i="1" s="1"/>
  <c r="P502" i="1" s="1"/>
  <c r="J501" i="1"/>
  <c r="J500" i="1"/>
  <c r="L499" i="1"/>
  <c r="J499" i="1"/>
  <c r="L498" i="1"/>
  <c r="J498" i="1"/>
  <c r="N497" i="1"/>
  <c r="L497" i="1"/>
  <c r="K497" i="1"/>
  <c r="P497" i="1" s="1"/>
  <c r="Q497" i="1" s="1"/>
  <c r="J497" i="1"/>
  <c r="M497" i="1" s="1"/>
  <c r="N496" i="1"/>
  <c r="L496" i="1"/>
  <c r="M496" i="1" s="1"/>
  <c r="K496" i="1"/>
  <c r="P496" i="1" s="1"/>
  <c r="Q496" i="1" s="1"/>
  <c r="J496" i="1"/>
  <c r="Q495" i="1"/>
  <c r="N495" i="1"/>
  <c r="M495" i="1"/>
  <c r="L495" i="1"/>
  <c r="K495" i="1"/>
  <c r="P495" i="1" s="1"/>
  <c r="J495" i="1"/>
  <c r="K494" i="1"/>
  <c r="J494" i="1"/>
  <c r="L494" i="1" s="1"/>
  <c r="M494" i="1" s="1"/>
  <c r="M493" i="1"/>
  <c r="L493" i="1"/>
  <c r="K493" i="1"/>
  <c r="J493" i="1"/>
  <c r="J492" i="1"/>
  <c r="K491" i="1"/>
  <c r="P491" i="1" s="1"/>
  <c r="J491" i="1"/>
  <c r="P490" i="1"/>
  <c r="L490" i="1"/>
  <c r="M490" i="1" s="1"/>
  <c r="J490" i="1"/>
  <c r="K490" i="1" s="1"/>
  <c r="J489" i="1"/>
  <c r="J488" i="1"/>
  <c r="L487" i="1"/>
  <c r="K487" i="1"/>
  <c r="J487" i="1"/>
  <c r="L486" i="1"/>
  <c r="J486" i="1"/>
  <c r="N485" i="1"/>
  <c r="M485" i="1"/>
  <c r="L485" i="1"/>
  <c r="K485" i="1"/>
  <c r="P485" i="1" s="1"/>
  <c r="Q485" i="1" s="1"/>
  <c r="J485" i="1"/>
  <c r="N484" i="1"/>
  <c r="L484" i="1"/>
  <c r="M484" i="1" s="1"/>
  <c r="K484" i="1"/>
  <c r="P484" i="1" s="1"/>
  <c r="Q484" i="1" s="1"/>
  <c r="J484" i="1"/>
  <c r="Q483" i="1"/>
  <c r="P483" i="1"/>
  <c r="N483" i="1"/>
  <c r="M483" i="1"/>
  <c r="L483" i="1"/>
  <c r="K483" i="1"/>
  <c r="J483" i="1"/>
  <c r="J482" i="1"/>
  <c r="N481" i="1"/>
  <c r="M481" i="1"/>
  <c r="L481" i="1"/>
  <c r="K481" i="1"/>
  <c r="J481" i="1"/>
  <c r="K480" i="1"/>
  <c r="P480" i="1" s="1"/>
  <c r="J480" i="1"/>
  <c r="N479" i="1"/>
  <c r="M479" i="1"/>
  <c r="L479" i="1"/>
  <c r="K479" i="1"/>
  <c r="J479" i="1"/>
  <c r="J478" i="1"/>
  <c r="N477" i="1"/>
  <c r="M477" i="1"/>
  <c r="L477" i="1"/>
  <c r="K477" i="1"/>
  <c r="J477" i="1"/>
  <c r="J476" i="1"/>
  <c r="J475" i="1"/>
  <c r="M474" i="1"/>
  <c r="L474" i="1"/>
  <c r="J474" i="1"/>
  <c r="K474" i="1" s="1"/>
  <c r="M473" i="1"/>
  <c r="L473" i="1"/>
  <c r="K473" i="1"/>
  <c r="P473" i="1" s="1"/>
  <c r="J473" i="1"/>
  <c r="P472" i="1"/>
  <c r="Q472" i="1" s="1"/>
  <c r="L472" i="1"/>
  <c r="M472" i="1" s="1"/>
  <c r="J472" i="1"/>
  <c r="K472" i="1" s="1"/>
  <c r="N472" i="1" s="1"/>
  <c r="J470" i="1"/>
  <c r="J469" i="1"/>
  <c r="M468" i="1"/>
  <c r="L468" i="1"/>
  <c r="K468" i="1"/>
  <c r="J468" i="1"/>
  <c r="L467" i="1"/>
  <c r="K467" i="1"/>
  <c r="P467" i="1" s="1"/>
  <c r="J467" i="1"/>
  <c r="P466" i="1"/>
  <c r="Q466" i="1" s="1"/>
  <c r="N466" i="1"/>
  <c r="M466" i="1"/>
  <c r="L466" i="1"/>
  <c r="K466" i="1"/>
  <c r="J466" i="1"/>
  <c r="J465" i="1"/>
  <c r="P464" i="1"/>
  <c r="Q464" i="1" s="1"/>
  <c r="N464" i="1"/>
  <c r="M464" i="1"/>
  <c r="L464" i="1"/>
  <c r="K464" i="1"/>
  <c r="J464" i="1"/>
  <c r="L463" i="1"/>
  <c r="J463" i="1"/>
  <c r="K462" i="1"/>
  <c r="P462" i="1" s="1"/>
  <c r="J462" i="1"/>
  <c r="N461" i="1"/>
  <c r="L461" i="1"/>
  <c r="M461" i="1" s="1"/>
  <c r="J461" i="1"/>
  <c r="K461" i="1" s="1"/>
  <c r="P461" i="1" s="1"/>
  <c r="Q461" i="1" s="1"/>
  <c r="M460" i="1"/>
  <c r="L460" i="1"/>
  <c r="K460" i="1"/>
  <c r="P460" i="1" s="1"/>
  <c r="J460" i="1"/>
  <c r="Q460" i="1" s="1"/>
  <c r="L459" i="1"/>
  <c r="M459" i="1" s="1"/>
  <c r="J459" i="1"/>
  <c r="K459" i="1" s="1"/>
  <c r="P459" i="1" s="1"/>
  <c r="Q459" i="1" s="1"/>
  <c r="J458" i="1"/>
  <c r="J457" i="1"/>
  <c r="M456" i="1"/>
  <c r="L456" i="1"/>
  <c r="K456" i="1"/>
  <c r="J456" i="1"/>
  <c r="L455" i="1"/>
  <c r="K455" i="1"/>
  <c r="P455" i="1" s="1"/>
  <c r="J455" i="1"/>
  <c r="Q455" i="1" s="1"/>
  <c r="P454" i="1"/>
  <c r="Q454" i="1" s="1"/>
  <c r="N454" i="1"/>
  <c r="M454" i="1"/>
  <c r="L454" i="1"/>
  <c r="K454" i="1"/>
  <c r="J454" i="1"/>
  <c r="J453" i="1"/>
  <c r="Q452" i="1"/>
  <c r="P452" i="1"/>
  <c r="N452" i="1"/>
  <c r="M452" i="1"/>
  <c r="L452" i="1"/>
  <c r="K452" i="1"/>
  <c r="J452" i="1"/>
  <c r="L451" i="1"/>
  <c r="J451" i="1"/>
  <c r="K450" i="1"/>
  <c r="P450" i="1" s="1"/>
  <c r="J450" i="1"/>
  <c r="N449" i="1"/>
  <c r="L449" i="1"/>
  <c r="M449" i="1" s="1"/>
  <c r="J449" i="1"/>
  <c r="K449" i="1" s="1"/>
  <c r="P449" i="1" s="1"/>
  <c r="Q449" i="1" s="1"/>
  <c r="L448" i="1"/>
  <c r="M448" i="1" s="1"/>
  <c r="K448" i="1"/>
  <c r="P448" i="1" s="1"/>
  <c r="J448" i="1"/>
  <c r="Q448" i="1" s="1"/>
  <c r="Q447" i="1"/>
  <c r="P447" i="1"/>
  <c r="N447" i="1"/>
  <c r="L447" i="1"/>
  <c r="M447" i="1" s="1"/>
  <c r="K447" i="1"/>
  <c r="J447" i="1"/>
  <c r="J446" i="1"/>
  <c r="J445" i="1"/>
  <c r="Q444" i="1"/>
  <c r="N444" i="1"/>
  <c r="L444" i="1"/>
  <c r="M444" i="1" s="1"/>
  <c r="K444" i="1"/>
  <c r="P444" i="1" s="1"/>
  <c r="J444" i="1"/>
  <c r="L443" i="1"/>
  <c r="K443" i="1"/>
  <c r="P443" i="1" s="1"/>
  <c r="J443" i="1"/>
  <c r="J442" i="1"/>
  <c r="K441" i="1"/>
  <c r="J441" i="1"/>
  <c r="Q440" i="1"/>
  <c r="P440" i="1"/>
  <c r="N440" i="1"/>
  <c r="L440" i="1"/>
  <c r="M440" i="1" s="1"/>
  <c r="K440" i="1"/>
  <c r="J440" i="1"/>
  <c r="P439" i="1"/>
  <c r="Q439" i="1" s="1"/>
  <c r="K439" i="1"/>
  <c r="J439" i="1"/>
  <c r="K438" i="1"/>
  <c r="P438" i="1" s="1"/>
  <c r="J438" i="1"/>
  <c r="N437" i="1"/>
  <c r="L437" i="1"/>
  <c r="M437" i="1" s="1"/>
  <c r="J437" i="1"/>
  <c r="K437" i="1" s="1"/>
  <c r="P437" i="1" s="1"/>
  <c r="Q437" i="1" s="1"/>
  <c r="L436" i="1"/>
  <c r="J436" i="1"/>
  <c r="Q435" i="1"/>
  <c r="N435" i="1"/>
  <c r="L435" i="1"/>
  <c r="M435" i="1" s="1"/>
  <c r="K435" i="1"/>
  <c r="P435" i="1" s="1"/>
  <c r="J435" i="1"/>
  <c r="L434" i="1"/>
  <c r="J434" i="1"/>
  <c r="J433" i="1"/>
  <c r="M432" i="1"/>
  <c r="L432" i="1"/>
  <c r="K432" i="1"/>
  <c r="J432" i="1"/>
  <c r="L431" i="1"/>
  <c r="K431" i="1"/>
  <c r="P431" i="1" s="1"/>
  <c r="J431" i="1"/>
  <c r="J430" i="1"/>
  <c r="J429" i="1"/>
  <c r="P428" i="1"/>
  <c r="Q428" i="1" s="1"/>
  <c r="N428" i="1"/>
  <c r="L428" i="1"/>
  <c r="M428" i="1" s="1"/>
  <c r="K428" i="1"/>
  <c r="J428" i="1"/>
  <c r="K427" i="1"/>
  <c r="P427" i="1" s="1"/>
  <c r="Q427" i="1" s="1"/>
  <c r="J427" i="1"/>
  <c r="K426" i="1"/>
  <c r="P426" i="1" s="1"/>
  <c r="J426" i="1"/>
  <c r="P425" i="1"/>
  <c r="Q425" i="1" s="1"/>
  <c r="N425" i="1"/>
  <c r="L425" i="1"/>
  <c r="M425" i="1" s="1"/>
  <c r="J425" i="1"/>
  <c r="K425" i="1" s="1"/>
  <c r="Q424" i="1"/>
  <c r="N424" i="1"/>
  <c r="L424" i="1"/>
  <c r="M424" i="1" s="1"/>
  <c r="J424" i="1"/>
  <c r="K424" i="1" s="1"/>
  <c r="P424" i="1" s="1"/>
  <c r="Q423" i="1"/>
  <c r="L423" i="1"/>
  <c r="M423" i="1" s="1"/>
  <c r="K423" i="1"/>
  <c r="P423" i="1" s="1"/>
  <c r="J423" i="1"/>
  <c r="P422" i="1"/>
  <c r="Q422" i="1" s="1"/>
  <c r="L422" i="1"/>
  <c r="K422" i="1"/>
  <c r="N422" i="1" s="1"/>
  <c r="J422" i="1"/>
  <c r="K421" i="1"/>
  <c r="P421" i="1" s="1"/>
  <c r="J421" i="1"/>
  <c r="Q420" i="1"/>
  <c r="L420" i="1"/>
  <c r="M420" i="1" s="1"/>
  <c r="K420" i="1"/>
  <c r="P420" i="1" s="1"/>
  <c r="J420" i="1"/>
  <c r="P419" i="1"/>
  <c r="L419" i="1"/>
  <c r="M419" i="1" s="1"/>
  <c r="K419" i="1"/>
  <c r="J419" i="1"/>
  <c r="J418" i="1"/>
  <c r="J417" i="1"/>
  <c r="L416" i="1"/>
  <c r="J416" i="1"/>
  <c r="M415" i="1"/>
  <c r="L415" i="1"/>
  <c r="J415" i="1"/>
  <c r="L414" i="1"/>
  <c r="J414" i="1"/>
  <c r="L413" i="1"/>
  <c r="M413" i="1" s="1"/>
  <c r="J413" i="1"/>
  <c r="K413" i="1" s="1"/>
  <c r="J412" i="1"/>
  <c r="L411" i="1"/>
  <c r="M411" i="1" s="1"/>
  <c r="K411" i="1"/>
  <c r="P411" i="1" s="1"/>
  <c r="Q411" i="1" s="1"/>
  <c r="J411" i="1"/>
  <c r="K410" i="1"/>
  <c r="J410" i="1"/>
  <c r="L410" i="1" s="1"/>
  <c r="M410" i="1" s="1"/>
  <c r="K409" i="1"/>
  <c r="P409" i="1" s="1"/>
  <c r="Q409" i="1" s="1"/>
  <c r="J409" i="1"/>
  <c r="Q408" i="1"/>
  <c r="P408" i="1"/>
  <c r="N408" i="1"/>
  <c r="M408" i="1"/>
  <c r="L408" i="1"/>
  <c r="K408" i="1"/>
  <c r="J408" i="1"/>
  <c r="J407" i="1"/>
  <c r="J406" i="1"/>
  <c r="J405" i="1"/>
  <c r="L404" i="1"/>
  <c r="J404" i="1"/>
  <c r="K403" i="1"/>
  <c r="P403" i="1" s="1"/>
  <c r="J403" i="1"/>
  <c r="L402" i="1"/>
  <c r="K402" i="1"/>
  <c r="P402" i="1" s="1"/>
  <c r="J402" i="1"/>
  <c r="P401" i="1"/>
  <c r="Q401" i="1" s="1"/>
  <c r="N401" i="1"/>
  <c r="L401" i="1"/>
  <c r="M401" i="1" s="1"/>
  <c r="J401" i="1"/>
  <c r="K401" i="1" s="1"/>
  <c r="L400" i="1"/>
  <c r="M400" i="1" s="1"/>
  <c r="J400" i="1"/>
  <c r="K400" i="1" s="1"/>
  <c r="P400" i="1" s="1"/>
  <c r="L399" i="1"/>
  <c r="M399" i="1" s="1"/>
  <c r="K399" i="1"/>
  <c r="P399" i="1" s="1"/>
  <c r="Q399" i="1" s="1"/>
  <c r="J399" i="1"/>
  <c r="L398" i="1"/>
  <c r="M398" i="1" s="1"/>
  <c r="K398" i="1"/>
  <c r="J398" i="1"/>
  <c r="J397" i="1"/>
  <c r="P396" i="1"/>
  <c r="Q396" i="1" s="1"/>
  <c r="L396" i="1"/>
  <c r="M396" i="1" s="1"/>
  <c r="K396" i="1"/>
  <c r="N396" i="1" s="1"/>
  <c r="J396" i="1"/>
  <c r="J395" i="1"/>
  <c r="J394" i="1"/>
  <c r="N393" i="1"/>
  <c r="L393" i="1"/>
  <c r="M393" i="1" s="1"/>
  <c r="K393" i="1"/>
  <c r="P393" i="1" s="1"/>
  <c r="J393" i="1"/>
  <c r="J392" i="1"/>
  <c r="P391" i="1"/>
  <c r="N391" i="1"/>
  <c r="K391" i="1"/>
  <c r="J391" i="1"/>
  <c r="L390" i="1"/>
  <c r="J390" i="1"/>
  <c r="N389" i="1"/>
  <c r="L389" i="1"/>
  <c r="M389" i="1" s="1"/>
  <c r="J389" i="1"/>
  <c r="K389" i="1" s="1"/>
  <c r="P389" i="1" s="1"/>
  <c r="Q389" i="1" s="1"/>
  <c r="K388" i="1"/>
  <c r="P388" i="1" s="1"/>
  <c r="Q388" i="1" s="1"/>
  <c r="J388" i="1"/>
  <c r="K387" i="1"/>
  <c r="J387" i="1"/>
  <c r="J386" i="1"/>
  <c r="L385" i="1"/>
  <c r="M385" i="1" s="1"/>
  <c r="J385" i="1"/>
  <c r="K384" i="1"/>
  <c r="P384" i="1" s="1"/>
  <c r="Q384" i="1" s="1"/>
  <c r="J384" i="1"/>
  <c r="L383" i="1"/>
  <c r="M383" i="1" s="1"/>
  <c r="K383" i="1"/>
  <c r="N383" i="1" s="1"/>
  <c r="J383" i="1"/>
  <c r="J382" i="1"/>
  <c r="L381" i="1"/>
  <c r="J381" i="1"/>
  <c r="M381" i="1" s="1"/>
  <c r="L380" i="1"/>
  <c r="K380" i="1"/>
  <c r="P380" i="1" s="1"/>
  <c r="J380" i="1"/>
  <c r="N379" i="1"/>
  <c r="L379" i="1"/>
  <c r="M379" i="1" s="1"/>
  <c r="K379" i="1"/>
  <c r="P379" i="1" s="1"/>
  <c r="Q379" i="1" s="1"/>
  <c r="J379" i="1"/>
  <c r="L378" i="1"/>
  <c r="M378" i="1" s="1"/>
  <c r="K378" i="1"/>
  <c r="P378" i="1" s="1"/>
  <c r="Q378" i="1" s="1"/>
  <c r="J378" i="1"/>
  <c r="P377" i="1"/>
  <c r="Q377" i="1" s="1"/>
  <c r="N377" i="1"/>
  <c r="M377" i="1"/>
  <c r="L377" i="1"/>
  <c r="K377" i="1"/>
  <c r="J377" i="1"/>
  <c r="J376" i="1"/>
  <c r="N375" i="1"/>
  <c r="K375" i="1"/>
  <c r="P375" i="1" s="1"/>
  <c r="Q375" i="1" s="1"/>
  <c r="J375" i="1"/>
  <c r="L375" i="1" s="1"/>
  <c r="L374" i="1"/>
  <c r="J374" i="1"/>
  <c r="J373" i="1"/>
  <c r="P372" i="1"/>
  <c r="Q372" i="1" s="1"/>
  <c r="N372" i="1"/>
  <c r="L372" i="1"/>
  <c r="M372" i="1" s="1"/>
  <c r="K372" i="1"/>
  <c r="J372" i="1"/>
  <c r="K371" i="1"/>
  <c r="P371" i="1" s="1"/>
  <c r="J371" i="1"/>
  <c r="P370" i="1"/>
  <c r="Q370" i="1" s="1"/>
  <c r="N370" i="1"/>
  <c r="J370" i="1"/>
  <c r="K370" i="1" s="1"/>
  <c r="J369" i="1"/>
  <c r="P368" i="1"/>
  <c r="Q368" i="1" s="1"/>
  <c r="L368" i="1"/>
  <c r="K368" i="1"/>
  <c r="N368" i="1" s="1"/>
  <c r="J368" i="1"/>
  <c r="L367" i="1"/>
  <c r="J367" i="1"/>
  <c r="N366" i="1"/>
  <c r="L366" i="1"/>
  <c r="M366" i="1" s="1"/>
  <c r="K366" i="1"/>
  <c r="P366" i="1" s="1"/>
  <c r="Q366" i="1" s="1"/>
  <c r="J366" i="1"/>
  <c r="L365" i="1"/>
  <c r="M365" i="1" s="1"/>
  <c r="K365" i="1"/>
  <c r="J365" i="1"/>
  <c r="M364" i="1"/>
  <c r="J364" i="1"/>
  <c r="L364" i="1" s="1"/>
  <c r="J363" i="1"/>
  <c r="L362" i="1"/>
  <c r="J362" i="1"/>
  <c r="J361" i="1"/>
  <c r="M360" i="1"/>
  <c r="L360" i="1"/>
  <c r="J360" i="1"/>
  <c r="K359" i="1"/>
  <c r="P359" i="1" s="1"/>
  <c r="J359" i="1"/>
  <c r="Q358" i="1"/>
  <c r="N358" i="1"/>
  <c r="M358" i="1"/>
  <c r="L358" i="1"/>
  <c r="J358" i="1"/>
  <c r="K358" i="1" s="1"/>
  <c r="P358" i="1" s="1"/>
  <c r="K357" i="1"/>
  <c r="P357" i="1" s="1"/>
  <c r="J357" i="1"/>
  <c r="P356" i="1"/>
  <c r="L356" i="1"/>
  <c r="K356" i="1"/>
  <c r="N356" i="1" s="1"/>
  <c r="J356" i="1"/>
  <c r="P355" i="1"/>
  <c r="Q355" i="1" s="1"/>
  <c r="M355" i="1"/>
  <c r="L355" i="1"/>
  <c r="K355" i="1"/>
  <c r="N355" i="1" s="1"/>
  <c r="J355" i="1"/>
  <c r="Q354" i="1"/>
  <c r="M354" i="1"/>
  <c r="L354" i="1"/>
  <c r="J354" i="1"/>
  <c r="K354" i="1" s="1"/>
  <c r="P354" i="1" s="1"/>
  <c r="Q353" i="1"/>
  <c r="P353" i="1"/>
  <c r="N353" i="1"/>
  <c r="M353" i="1"/>
  <c r="L353" i="1"/>
  <c r="K353" i="1"/>
  <c r="J353" i="1"/>
  <c r="N352" i="1"/>
  <c r="L352" i="1"/>
  <c r="M352" i="1" s="1"/>
  <c r="K352" i="1"/>
  <c r="P352" i="1" s="1"/>
  <c r="Q352" i="1" s="1"/>
  <c r="J352" i="1"/>
  <c r="J351" i="1"/>
  <c r="P350" i="1"/>
  <c r="Q350" i="1" s="1"/>
  <c r="L350" i="1"/>
  <c r="M350" i="1" s="1"/>
  <c r="K350" i="1"/>
  <c r="N350" i="1" s="1"/>
  <c r="J350" i="1"/>
  <c r="L349" i="1"/>
  <c r="M349" i="1" s="1"/>
  <c r="J349" i="1"/>
  <c r="J348" i="1"/>
  <c r="K347" i="1"/>
  <c r="P347" i="1" s="1"/>
  <c r="J347" i="1"/>
  <c r="J346" i="1"/>
  <c r="J345" i="1"/>
  <c r="N344" i="1"/>
  <c r="K344" i="1"/>
  <c r="P344" i="1" s="1"/>
  <c r="J344" i="1"/>
  <c r="N343" i="1"/>
  <c r="L343" i="1"/>
  <c r="M343" i="1" s="1"/>
  <c r="K343" i="1"/>
  <c r="P343" i="1" s="1"/>
  <c r="Q343" i="1" s="1"/>
  <c r="J343" i="1"/>
  <c r="J342" i="1"/>
  <c r="P341" i="1"/>
  <c r="Q341" i="1" s="1"/>
  <c r="N341" i="1"/>
  <c r="M341" i="1"/>
  <c r="L341" i="1"/>
  <c r="K341" i="1"/>
  <c r="J341" i="1"/>
  <c r="M340" i="1"/>
  <c r="L340" i="1"/>
  <c r="K340" i="1"/>
  <c r="J340" i="1"/>
  <c r="J339" i="1"/>
  <c r="K338" i="1"/>
  <c r="P338" i="1" s="1"/>
  <c r="J338" i="1"/>
  <c r="M337" i="1"/>
  <c r="L337" i="1"/>
  <c r="K337" i="1"/>
  <c r="P337" i="1" s="1"/>
  <c r="Q337" i="1" s="1"/>
  <c r="J337" i="1"/>
  <c r="K336" i="1"/>
  <c r="P336" i="1" s="1"/>
  <c r="J336" i="1"/>
  <c r="L335" i="1"/>
  <c r="J335" i="1"/>
  <c r="N334" i="1"/>
  <c r="J334" i="1"/>
  <c r="K334" i="1" s="1"/>
  <c r="P334" i="1" s="1"/>
  <c r="Q334" i="1" s="1"/>
  <c r="K333" i="1"/>
  <c r="P333" i="1" s="1"/>
  <c r="Q333" i="1" s="1"/>
  <c r="J333" i="1"/>
  <c r="K332" i="1"/>
  <c r="J332" i="1"/>
  <c r="K331" i="1"/>
  <c r="P331" i="1" s="1"/>
  <c r="J331" i="1"/>
  <c r="Q330" i="1"/>
  <c r="M330" i="1"/>
  <c r="L330" i="1"/>
  <c r="K330" i="1"/>
  <c r="P330" i="1" s="1"/>
  <c r="J330" i="1"/>
  <c r="P329" i="1"/>
  <c r="Q329" i="1" s="1"/>
  <c r="L329" i="1"/>
  <c r="M329" i="1" s="1"/>
  <c r="K329" i="1"/>
  <c r="N329" i="1" s="1"/>
  <c r="J329" i="1"/>
  <c r="J328" i="1"/>
  <c r="J327" i="1"/>
  <c r="P326" i="1"/>
  <c r="Q326" i="1" s="1"/>
  <c r="N326" i="1"/>
  <c r="M326" i="1"/>
  <c r="L326" i="1"/>
  <c r="K326" i="1"/>
  <c r="J326" i="1"/>
  <c r="J325" i="1"/>
  <c r="L324" i="1"/>
  <c r="J324" i="1"/>
  <c r="K323" i="1"/>
  <c r="P323" i="1" s="1"/>
  <c r="J323" i="1"/>
  <c r="J322" i="1"/>
  <c r="P321" i="1"/>
  <c r="Q321" i="1" s="1"/>
  <c r="K321" i="1"/>
  <c r="J321" i="1"/>
  <c r="N321" i="1" s="1"/>
  <c r="J320" i="1"/>
  <c r="P319" i="1"/>
  <c r="Q319" i="1" s="1"/>
  <c r="N319" i="1"/>
  <c r="M319" i="1"/>
  <c r="L319" i="1"/>
  <c r="K319" i="1"/>
  <c r="J319" i="1"/>
  <c r="K318" i="1"/>
  <c r="J318" i="1"/>
  <c r="P317" i="1"/>
  <c r="Q317" i="1" s="1"/>
  <c r="N317" i="1"/>
  <c r="L317" i="1"/>
  <c r="M317" i="1" s="1"/>
  <c r="K317" i="1"/>
  <c r="J317" i="1"/>
  <c r="L316" i="1"/>
  <c r="J316" i="1"/>
  <c r="J315" i="1"/>
  <c r="J314" i="1"/>
  <c r="M313" i="1"/>
  <c r="L313" i="1"/>
  <c r="K313" i="1"/>
  <c r="P313" i="1" s="1"/>
  <c r="Q313" i="1" s="1"/>
  <c r="J313" i="1"/>
  <c r="K312" i="1"/>
  <c r="P312" i="1" s="1"/>
  <c r="J312" i="1"/>
  <c r="Q312" i="1" s="1"/>
  <c r="J311" i="1"/>
  <c r="P310" i="1"/>
  <c r="Q310" i="1" s="1"/>
  <c r="J310" i="1"/>
  <c r="K310" i="1" s="1"/>
  <c r="J309" i="1"/>
  <c r="L308" i="1"/>
  <c r="J308" i="1"/>
  <c r="J307" i="1"/>
  <c r="L306" i="1"/>
  <c r="M306" i="1" s="1"/>
  <c r="K306" i="1"/>
  <c r="J306" i="1"/>
  <c r="M305" i="1"/>
  <c r="L305" i="1"/>
  <c r="K305" i="1"/>
  <c r="N305" i="1" s="1"/>
  <c r="J305" i="1"/>
  <c r="J304" i="1"/>
  <c r="P303" i="1"/>
  <c r="N303" i="1"/>
  <c r="K303" i="1"/>
  <c r="J303" i="1"/>
  <c r="N302" i="1"/>
  <c r="M302" i="1"/>
  <c r="L302" i="1"/>
  <c r="K302" i="1"/>
  <c r="P302" i="1" s="1"/>
  <c r="Q302" i="1" s="1"/>
  <c r="J302" i="1"/>
  <c r="J301" i="1"/>
  <c r="J300" i="1"/>
  <c r="L299" i="1"/>
  <c r="M299" i="1" s="1"/>
  <c r="J299" i="1"/>
  <c r="J298" i="1"/>
  <c r="J297" i="1"/>
  <c r="K296" i="1"/>
  <c r="P296" i="1" s="1"/>
  <c r="J296" i="1"/>
  <c r="N295" i="1"/>
  <c r="L295" i="1"/>
  <c r="M295" i="1" s="1"/>
  <c r="K295" i="1"/>
  <c r="P295" i="1" s="1"/>
  <c r="Q295" i="1" s="1"/>
  <c r="J295" i="1"/>
  <c r="L294" i="1"/>
  <c r="J294" i="1"/>
  <c r="P293" i="1"/>
  <c r="Q293" i="1" s="1"/>
  <c r="N293" i="1"/>
  <c r="M293" i="1"/>
  <c r="L293" i="1"/>
  <c r="K293" i="1"/>
  <c r="J293" i="1"/>
  <c r="Q292" i="1"/>
  <c r="N292" i="1"/>
  <c r="M292" i="1"/>
  <c r="K292" i="1"/>
  <c r="P292" i="1" s="1"/>
  <c r="J292" i="1"/>
  <c r="L292" i="1" s="1"/>
  <c r="J291" i="1"/>
  <c r="L290" i="1"/>
  <c r="M290" i="1" s="1"/>
  <c r="K290" i="1"/>
  <c r="J290" i="1"/>
  <c r="M289" i="1"/>
  <c r="L289" i="1"/>
  <c r="K289" i="1"/>
  <c r="P289" i="1" s="1"/>
  <c r="Q289" i="1" s="1"/>
  <c r="J289" i="1"/>
  <c r="M288" i="1"/>
  <c r="L288" i="1"/>
  <c r="J288" i="1"/>
  <c r="K288" i="1" s="1"/>
  <c r="P288" i="1" s="1"/>
  <c r="L287" i="1"/>
  <c r="J287" i="1"/>
  <c r="J286" i="1"/>
  <c r="Q285" i="1"/>
  <c r="K285" i="1"/>
  <c r="P285" i="1" s="1"/>
  <c r="J285" i="1"/>
  <c r="J284" i="1"/>
  <c r="L283" i="1"/>
  <c r="K283" i="1"/>
  <c r="P283" i="1" s="1"/>
  <c r="J283" i="1"/>
  <c r="M282" i="1"/>
  <c r="L282" i="1"/>
  <c r="K282" i="1"/>
  <c r="J282" i="1"/>
  <c r="L281" i="1"/>
  <c r="M281" i="1" s="1"/>
  <c r="K281" i="1"/>
  <c r="J281" i="1"/>
  <c r="J280" i="1"/>
  <c r="J279" i="1"/>
  <c r="M278" i="1"/>
  <c r="L278" i="1"/>
  <c r="K278" i="1"/>
  <c r="N278" i="1" s="1"/>
  <c r="J278" i="1"/>
  <c r="J277" i="1"/>
  <c r="L276" i="1"/>
  <c r="J276" i="1"/>
  <c r="J275" i="1"/>
  <c r="J274" i="1"/>
  <c r="K273" i="1"/>
  <c r="P273" i="1" s="1"/>
  <c r="J273" i="1"/>
  <c r="Q273" i="1" s="1"/>
  <c r="J272" i="1"/>
  <c r="M271" i="1"/>
  <c r="L271" i="1"/>
  <c r="K271" i="1"/>
  <c r="N271" i="1" s="1"/>
  <c r="J271" i="1"/>
  <c r="J270" i="1"/>
  <c r="Q269" i="1"/>
  <c r="P269" i="1"/>
  <c r="N269" i="1"/>
  <c r="L269" i="1"/>
  <c r="M269" i="1" s="1"/>
  <c r="K269" i="1"/>
  <c r="J269" i="1"/>
  <c r="J268" i="1"/>
  <c r="J267" i="1"/>
  <c r="L266" i="1"/>
  <c r="J266" i="1"/>
  <c r="P265" i="1"/>
  <c r="Q265" i="1" s="1"/>
  <c r="M265" i="1"/>
  <c r="L265" i="1"/>
  <c r="K265" i="1"/>
  <c r="J265" i="1"/>
  <c r="J264" i="1"/>
  <c r="J263" i="1"/>
  <c r="J262" i="1"/>
  <c r="J261" i="1"/>
  <c r="J260" i="1"/>
  <c r="L259" i="1"/>
  <c r="J259" i="1"/>
  <c r="Q258" i="1"/>
  <c r="N258" i="1"/>
  <c r="M258" i="1"/>
  <c r="L258" i="1"/>
  <c r="K258" i="1"/>
  <c r="P258" i="1" s="1"/>
  <c r="J258" i="1"/>
  <c r="M257" i="1"/>
  <c r="L257" i="1"/>
  <c r="K257" i="1"/>
  <c r="J257" i="1"/>
  <c r="J256" i="1"/>
  <c r="K255" i="1"/>
  <c r="J255" i="1"/>
  <c r="M254" i="1"/>
  <c r="L254" i="1"/>
  <c r="K254" i="1"/>
  <c r="J254" i="1"/>
  <c r="J253" i="1"/>
  <c r="J252" i="1"/>
  <c r="L252" i="1" s="1"/>
  <c r="J251" i="1"/>
  <c r="J250" i="1"/>
  <c r="L249" i="1"/>
  <c r="M249" i="1" s="1"/>
  <c r="J249" i="1"/>
  <c r="K249" i="1" s="1"/>
  <c r="P249" i="1" s="1"/>
  <c r="K248" i="1"/>
  <c r="P248" i="1" s="1"/>
  <c r="J248" i="1"/>
  <c r="M247" i="1"/>
  <c r="L247" i="1"/>
  <c r="K247" i="1"/>
  <c r="J247" i="1"/>
  <c r="J246" i="1"/>
  <c r="P245" i="1"/>
  <c r="Q245" i="1" s="1"/>
  <c r="N245" i="1"/>
  <c r="L245" i="1"/>
  <c r="M245" i="1" s="1"/>
  <c r="K245" i="1"/>
  <c r="J245" i="1"/>
  <c r="Q244" i="1"/>
  <c r="K244" i="1"/>
  <c r="P244" i="1" s="1"/>
  <c r="J244" i="1"/>
  <c r="N244" i="1" s="1"/>
  <c r="J243" i="1"/>
  <c r="N242" i="1"/>
  <c r="K242" i="1"/>
  <c r="P242" i="1" s="1"/>
  <c r="J242" i="1"/>
  <c r="Q241" i="1"/>
  <c r="M241" i="1"/>
  <c r="L241" i="1"/>
  <c r="K241" i="1"/>
  <c r="P241" i="1" s="1"/>
  <c r="J241" i="1"/>
  <c r="J240" i="1"/>
  <c r="L239" i="1"/>
  <c r="J239" i="1"/>
  <c r="P238" i="1"/>
  <c r="Q238" i="1" s="1"/>
  <c r="N238" i="1"/>
  <c r="L238" i="1"/>
  <c r="M238" i="1" s="1"/>
  <c r="J238" i="1"/>
  <c r="K238" i="1" s="1"/>
  <c r="K237" i="1"/>
  <c r="P237" i="1" s="1"/>
  <c r="Q237" i="1" s="1"/>
  <c r="J237" i="1"/>
  <c r="K236" i="1"/>
  <c r="P236" i="1" s="1"/>
  <c r="J236" i="1"/>
  <c r="N235" i="1"/>
  <c r="K235" i="1"/>
  <c r="P235" i="1" s="1"/>
  <c r="J235" i="1"/>
  <c r="Q234" i="1"/>
  <c r="M234" i="1"/>
  <c r="L234" i="1"/>
  <c r="K234" i="1"/>
  <c r="P234" i="1" s="1"/>
  <c r="J234" i="1"/>
  <c r="P233" i="1"/>
  <c r="Q233" i="1" s="1"/>
  <c r="L233" i="1"/>
  <c r="M233" i="1" s="1"/>
  <c r="K233" i="1"/>
  <c r="N233" i="1" s="1"/>
  <c r="J233" i="1"/>
  <c r="J232" i="1"/>
  <c r="N231" i="1"/>
  <c r="K231" i="1"/>
  <c r="P231" i="1" s="1"/>
  <c r="J231" i="1"/>
  <c r="P230" i="1"/>
  <c r="Q230" i="1" s="1"/>
  <c r="M230" i="1"/>
  <c r="L230" i="1"/>
  <c r="K230" i="1"/>
  <c r="N230" i="1" s="1"/>
  <c r="J230" i="1"/>
  <c r="L229" i="1"/>
  <c r="M229" i="1" s="1"/>
  <c r="K229" i="1"/>
  <c r="P229" i="1" s="1"/>
  <c r="Q229" i="1" s="1"/>
  <c r="J229" i="1"/>
  <c r="L228" i="1"/>
  <c r="J228" i="1"/>
  <c r="L227" i="1"/>
  <c r="J227" i="1"/>
  <c r="J226" i="1"/>
  <c r="J225" i="1"/>
  <c r="J224" i="1"/>
  <c r="M223" i="1"/>
  <c r="L223" i="1"/>
  <c r="K223" i="1"/>
  <c r="N223" i="1" s="1"/>
  <c r="J223" i="1"/>
  <c r="J222" i="1"/>
  <c r="L222" i="1" s="1"/>
  <c r="Q221" i="1"/>
  <c r="P221" i="1"/>
  <c r="N221" i="1"/>
  <c r="L221" i="1"/>
  <c r="M221" i="1" s="1"/>
  <c r="K221" i="1"/>
  <c r="J221" i="1"/>
  <c r="J220" i="1"/>
  <c r="J219" i="1"/>
  <c r="J218" i="1"/>
  <c r="P217" i="1"/>
  <c r="Q217" i="1" s="1"/>
  <c r="M217" i="1"/>
  <c r="L217" i="1"/>
  <c r="K217" i="1"/>
  <c r="J217" i="1"/>
  <c r="P216" i="1"/>
  <c r="K216" i="1"/>
  <c r="J216" i="1"/>
  <c r="J215" i="1"/>
  <c r="J214" i="1"/>
  <c r="J213" i="1"/>
  <c r="L212" i="1"/>
  <c r="J212" i="1"/>
  <c r="J211" i="1"/>
  <c r="Q210" i="1"/>
  <c r="N210" i="1"/>
  <c r="L210" i="1"/>
  <c r="M210" i="1" s="1"/>
  <c r="K210" i="1"/>
  <c r="P210" i="1" s="1"/>
  <c r="J210" i="1"/>
  <c r="M209" i="1"/>
  <c r="L209" i="1"/>
  <c r="K209" i="1"/>
  <c r="J209" i="1"/>
  <c r="J208" i="1"/>
  <c r="K207" i="1"/>
  <c r="P207" i="1" s="1"/>
  <c r="J207" i="1"/>
  <c r="P206" i="1"/>
  <c r="Q206" i="1" s="1"/>
  <c r="N206" i="1"/>
  <c r="M206" i="1"/>
  <c r="L206" i="1"/>
  <c r="K206" i="1"/>
  <c r="J206" i="1"/>
  <c r="J205" i="1"/>
  <c r="J204" i="1"/>
  <c r="L203" i="1"/>
  <c r="J203" i="1"/>
  <c r="J202" i="1"/>
  <c r="L201" i="1"/>
  <c r="J201" i="1"/>
  <c r="K200" i="1"/>
  <c r="P200" i="1" s="1"/>
  <c r="J200" i="1"/>
  <c r="P199" i="1"/>
  <c r="Q199" i="1" s="1"/>
  <c r="N199" i="1"/>
  <c r="L199" i="1"/>
  <c r="M199" i="1" s="1"/>
  <c r="K199" i="1"/>
  <c r="J199" i="1"/>
  <c r="J198" i="1"/>
  <c r="P197" i="1"/>
  <c r="Q197" i="1" s="1"/>
  <c r="N197" i="1"/>
  <c r="M197" i="1"/>
  <c r="L197" i="1"/>
  <c r="K197" i="1"/>
  <c r="J197" i="1"/>
  <c r="K196" i="1"/>
  <c r="P196" i="1" s="1"/>
  <c r="Q196" i="1" s="1"/>
  <c r="J196" i="1"/>
  <c r="J195" i="1"/>
  <c r="P194" i="1"/>
  <c r="K194" i="1"/>
  <c r="J194" i="1"/>
  <c r="M193" i="1"/>
  <c r="L193" i="1"/>
  <c r="K193" i="1"/>
  <c r="P193" i="1" s="1"/>
  <c r="Q193" i="1" s="1"/>
  <c r="J193" i="1"/>
  <c r="J192" i="1"/>
  <c r="J191" i="1"/>
  <c r="P190" i="1"/>
  <c r="Q190" i="1" s="1"/>
  <c r="N190" i="1"/>
  <c r="L190" i="1"/>
  <c r="J190" i="1"/>
  <c r="K190" i="1" s="1"/>
  <c r="K189" i="1"/>
  <c r="P189" i="1" s="1"/>
  <c r="Q189" i="1" s="1"/>
  <c r="J189" i="1"/>
  <c r="P188" i="1"/>
  <c r="Q188" i="1" s="1"/>
  <c r="L188" i="1"/>
  <c r="K188" i="1"/>
  <c r="N188" i="1" s="1"/>
  <c r="J188" i="1"/>
  <c r="K187" i="1"/>
  <c r="P187" i="1" s="1"/>
  <c r="J187" i="1"/>
  <c r="M186" i="1"/>
  <c r="L186" i="1"/>
  <c r="K186" i="1"/>
  <c r="J186" i="1"/>
  <c r="P185" i="1"/>
  <c r="Q185" i="1" s="1"/>
  <c r="L185" i="1"/>
  <c r="M185" i="1" s="1"/>
  <c r="K185" i="1"/>
  <c r="N185" i="1" s="1"/>
  <c r="J185" i="1"/>
  <c r="J184" i="1"/>
  <c r="J183" i="1"/>
  <c r="P182" i="1"/>
  <c r="Q182" i="1" s="1"/>
  <c r="M182" i="1"/>
  <c r="L182" i="1"/>
  <c r="K182" i="1"/>
  <c r="N182" i="1" s="1"/>
  <c r="J182" i="1"/>
  <c r="P181" i="1"/>
  <c r="Q181" i="1" s="1"/>
  <c r="K181" i="1"/>
  <c r="J181" i="1"/>
  <c r="L180" i="1"/>
  <c r="J180" i="1"/>
  <c r="L179" i="1"/>
  <c r="M179" i="1" s="1"/>
  <c r="K179" i="1"/>
  <c r="P179" i="1" s="1"/>
  <c r="J179" i="1"/>
  <c r="J178" i="1"/>
  <c r="L177" i="1"/>
  <c r="M177" i="1" s="1"/>
  <c r="K177" i="1"/>
  <c r="P177" i="1" s="1"/>
  <c r="J177" i="1"/>
  <c r="J176" i="1"/>
  <c r="M175" i="1"/>
  <c r="L175" i="1"/>
  <c r="K175" i="1"/>
  <c r="N175" i="1" s="1"/>
  <c r="J175" i="1"/>
  <c r="L174" i="1"/>
  <c r="K174" i="1"/>
  <c r="P174" i="1" s="1"/>
  <c r="J174" i="1"/>
  <c r="Q173" i="1"/>
  <c r="P173" i="1"/>
  <c r="N173" i="1"/>
  <c r="L173" i="1"/>
  <c r="M173" i="1" s="1"/>
  <c r="K173" i="1"/>
  <c r="J173" i="1"/>
  <c r="J172" i="1"/>
  <c r="K172" i="1" s="1"/>
  <c r="P172" i="1" s="1"/>
  <c r="J171" i="1"/>
  <c r="K170" i="1"/>
  <c r="P170" i="1" s="1"/>
  <c r="J170" i="1"/>
  <c r="P169" i="1"/>
  <c r="Q169" i="1" s="1"/>
  <c r="M169" i="1"/>
  <c r="L169" i="1"/>
  <c r="K169" i="1"/>
  <c r="J169" i="1"/>
  <c r="L168" i="1"/>
  <c r="M168" i="1" s="1"/>
  <c r="K168" i="1"/>
  <c r="P168" i="1" s="1"/>
  <c r="Q168" i="1" s="1"/>
  <c r="J168" i="1"/>
  <c r="J167" i="1"/>
  <c r="J166" i="1"/>
  <c r="J165" i="1"/>
  <c r="J164" i="1"/>
  <c r="L163" i="1"/>
  <c r="K163" i="1"/>
  <c r="P163" i="1" s="1"/>
  <c r="J163" i="1"/>
  <c r="N162" i="1"/>
  <c r="L162" i="1"/>
  <c r="M162" i="1" s="1"/>
  <c r="K162" i="1"/>
  <c r="P162" i="1" s="1"/>
  <c r="Q162" i="1" s="1"/>
  <c r="J162" i="1"/>
  <c r="L161" i="1"/>
  <c r="M161" i="1" s="1"/>
  <c r="K161" i="1"/>
  <c r="N161" i="1" s="1"/>
  <c r="J161" i="1"/>
  <c r="J160" i="1"/>
  <c r="J159" i="1"/>
  <c r="Q158" i="1"/>
  <c r="P158" i="1"/>
  <c r="N158" i="1"/>
  <c r="M158" i="1"/>
  <c r="L158" i="1"/>
  <c r="K158" i="1"/>
  <c r="J158" i="1"/>
  <c r="J157" i="1"/>
  <c r="J156" i="1"/>
  <c r="J155" i="1"/>
  <c r="J154" i="1"/>
  <c r="L153" i="1"/>
  <c r="J153" i="1"/>
  <c r="J152" i="1"/>
  <c r="Q151" i="1"/>
  <c r="P151" i="1"/>
  <c r="N151" i="1"/>
  <c r="L151" i="1"/>
  <c r="M151" i="1" s="1"/>
  <c r="K151" i="1"/>
  <c r="J151" i="1"/>
  <c r="J150" i="1"/>
  <c r="P149" i="1"/>
  <c r="Q149" i="1" s="1"/>
  <c r="N149" i="1"/>
  <c r="M149" i="1"/>
  <c r="L149" i="1"/>
  <c r="K149" i="1"/>
  <c r="J149" i="1"/>
  <c r="K148" i="1"/>
  <c r="P148" i="1" s="1"/>
  <c r="J148" i="1"/>
  <c r="Q148" i="1" s="1"/>
  <c r="J147" i="1"/>
  <c r="K146" i="1"/>
  <c r="P146" i="1" s="1"/>
  <c r="J146" i="1"/>
  <c r="M145" i="1"/>
  <c r="L145" i="1"/>
  <c r="K145" i="1"/>
  <c r="P145" i="1" s="1"/>
  <c r="Q145" i="1" s="1"/>
  <c r="J145" i="1"/>
  <c r="K144" i="1"/>
  <c r="P144" i="1" s="1"/>
  <c r="J144" i="1"/>
  <c r="Q144" i="1" s="1"/>
  <c r="L143" i="1"/>
  <c r="J143" i="1"/>
  <c r="J142" i="1"/>
  <c r="J141" i="1"/>
  <c r="N140" i="1"/>
  <c r="K140" i="1"/>
  <c r="P140" i="1" s="1"/>
  <c r="Q140" i="1" s="1"/>
  <c r="J140" i="1"/>
  <c r="N139" i="1"/>
  <c r="K139" i="1"/>
  <c r="P139" i="1" s="1"/>
  <c r="J139" i="1"/>
  <c r="M138" i="1"/>
  <c r="L138" i="1"/>
  <c r="K138" i="1"/>
  <c r="P138" i="1" s="1"/>
  <c r="Q138" i="1" s="1"/>
  <c r="J138" i="1"/>
  <c r="L137" i="1"/>
  <c r="M137" i="1" s="1"/>
  <c r="K137" i="1"/>
  <c r="N137" i="1" s="1"/>
  <c r="J137" i="1"/>
  <c r="J136" i="1"/>
  <c r="J135" i="1"/>
  <c r="P134" i="1"/>
  <c r="Q134" i="1" s="1"/>
  <c r="N134" i="1"/>
  <c r="M134" i="1"/>
  <c r="L134" i="1"/>
  <c r="K134" i="1"/>
  <c r="J134" i="1"/>
  <c r="J133" i="1"/>
  <c r="J132" i="1"/>
  <c r="K131" i="1"/>
  <c r="P131" i="1" s="1"/>
  <c r="J131" i="1"/>
  <c r="J130" i="1"/>
  <c r="Q129" i="1"/>
  <c r="P129" i="1"/>
  <c r="N129" i="1"/>
  <c r="M129" i="1"/>
  <c r="L129" i="1"/>
  <c r="K129" i="1"/>
  <c r="J129" i="1"/>
  <c r="J128" i="1"/>
  <c r="M127" i="1"/>
  <c r="L127" i="1"/>
  <c r="K127" i="1"/>
  <c r="P127" i="1" s="1"/>
  <c r="Q127" i="1" s="1"/>
  <c r="J127" i="1"/>
  <c r="K126" i="1"/>
  <c r="P126" i="1" s="1"/>
  <c r="J126" i="1"/>
  <c r="P125" i="1"/>
  <c r="Q125" i="1" s="1"/>
  <c r="N125" i="1"/>
  <c r="L125" i="1"/>
  <c r="M125" i="1" s="1"/>
  <c r="K125" i="1"/>
  <c r="J125" i="1"/>
  <c r="J124" i="1"/>
  <c r="J123" i="1"/>
  <c r="J122" i="1"/>
  <c r="P121" i="1"/>
  <c r="Q121" i="1" s="1"/>
  <c r="M121" i="1"/>
  <c r="L121" i="1"/>
  <c r="K121" i="1"/>
  <c r="J121" i="1"/>
  <c r="K120" i="1"/>
  <c r="P120" i="1" s="1"/>
  <c r="Q120" i="1" s="1"/>
  <c r="J120" i="1"/>
  <c r="L120" i="1" s="1"/>
  <c r="M120" i="1" s="1"/>
  <c r="L119" i="1"/>
  <c r="J119" i="1"/>
  <c r="L118" i="1"/>
  <c r="J118" i="1"/>
  <c r="K118" i="1" s="1"/>
  <c r="P118" i="1" s="1"/>
  <c r="J117" i="1"/>
  <c r="P116" i="1"/>
  <c r="Q116" i="1" s="1"/>
  <c r="N116" i="1"/>
  <c r="K116" i="1"/>
  <c r="J116" i="1"/>
  <c r="J115" i="1"/>
  <c r="L114" i="1"/>
  <c r="M114" i="1" s="1"/>
  <c r="K114" i="1"/>
  <c r="P114" i="1" s="1"/>
  <c r="Q114" i="1" s="1"/>
  <c r="J114" i="1"/>
  <c r="P113" i="1"/>
  <c r="Q113" i="1" s="1"/>
  <c r="L113" i="1"/>
  <c r="M113" i="1" s="1"/>
  <c r="K113" i="1"/>
  <c r="N113" i="1" s="1"/>
  <c r="J113" i="1"/>
  <c r="J112" i="1"/>
  <c r="K111" i="1"/>
  <c r="P111" i="1" s="1"/>
  <c r="J111" i="1"/>
  <c r="M110" i="1"/>
  <c r="L110" i="1"/>
  <c r="K110" i="1"/>
  <c r="P110" i="1" s="1"/>
  <c r="Q110" i="1" s="1"/>
  <c r="J110" i="1"/>
  <c r="L109" i="1"/>
  <c r="M109" i="1" s="1"/>
  <c r="K109" i="1"/>
  <c r="P109" i="1" s="1"/>
  <c r="Q109" i="1" s="1"/>
  <c r="J109" i="1"/>
  <c r="J108" i="1"/>
  <c r="J107" i="1"/>
  <c r="J106" i="1"/>
  <c r="J105" i="1"/>
  <c r="J104" i="1"/>
  <c r="Q103" i="1"/>
  <c r="N103" i="1"/>
  <c r="L103" i="1"/>
  <c r="M103" i="1" s="1"/>
  <c r="K103" i="1"/>
  <c r="P103" i="1" s="1"/>
  <c r="J103" i="1"/>
  <c r="J102" i="1"/>
  <c r="P101" i="1"/>
  <c r="Q101" i="1" s="1"/>
  <c r="N101" i="1"/>
  <c r="M101" i="1"/>
  <c r="L101" i="1"/>
  <c r="K101" i="1"/>
  <c r="J101" i="1"/>
  <c r="K100" i="1"/>
  <c r="P100" i="1" s="1"/>
  <c r="J100" i="1"/>
  <c r="Q100" i="1" s="1"/>
  <c r="J99" i="1"/>
  <c r="J98" i="1"/>
  <c r="L97" i="1"/>
  <c r="J97" i="1"/>
  <c r="L96" i="1"/>
  <c r="M96" i="1" s="1"/>
  <c r="J96" i="1"/>
  <c r="K96" i="1" s="1"/>
  <c r="J95" i="1"/>
  <c r="P94" i="1"/>
  <c r="Q94" i="1" s="1"/>
  <c r="N94" i="1"/>
  <c r="M94" i="1"/>
  <c r="L94" i="1"/>
  <c r="K94" i="1"/>
  <c r="J94" i="1"/>
  <c r="L93" i="1"/>
  <c r="M93" i="1" s="1"/>
  <c r="K93" i="1"/>
  <c r="P93" i="1" s="1"/>
  <c r="Q93" i="1" s="1"/>
  <c r="J93" i="1"/>
  <c r="M92" i="1"/>
  <c r="L92" i="1"/>
  <c r="K92" i="1"/>
  <c r="P92" i="1" s="1"/>
  <c r="Q92" i="1" s="1"/>
  <c r="J92" i="1"/>
  <c r="K91" i="1"/>
  <c r="P91" i="1" s="1"/>
  <c r="Q91" i="1" s="1"/>
  <c r="J91" i="1"/>
  <c r="L91" i="1" s="1"/>
  <c r="M91" i="1" s="1"/>
  <c r="K90" i="1"/>
  <c r="P90" i="1" s="1"/>
  <c r="J90" i="1"/>
  <c r="P89" i="1"/>
  <c r="Q89" i="1" s="1"/>
  <c r="N89" i="1"/>
  <c r="M89" i="1"/>
  <c r="L89" i="1"/>
  <c r="K89" i="1"/>
  <c r="J89" i="1"/>
  <c r="J88" i="1"/>
  <c r="Q87" i="1"/>
  <c r="N87" i="1"/>
  <c r="M87" i="1"/>
  <c r="L87" i="1"/>
  <c r="K87" i="1"/>
  <c r="J87" i="1"/>
  <c r="L86" i="1"/>
  <c r="J86" i="1"/>
  <c r="Q85" i="1"/>
  <c r="P85" i="1"/>
  <c r="N85" i="1"/>
  <c r="M85" i="1"/>
  <c r="L85" i="1"/>
  <c r="K85" i="1"/>
  <c r="J85" i="1"/>
  <c r="J84" i="1"/>
  <c r="K83" i="1"/>
  <c r="P83" i="1" s="1"/>
  <c r="Q83" i="1" s="1"/>
  <c r="J83" i="1"/>
  <c r="L82" i="1"/>
  <c r="M82" i="1" s="1"/>
  <c r="K82" i="1"/>
  <c r="P82" i="1" s="1"/>
  <c r="Q82" i="1" s="1"/>
  <c r="J82" i="1"/>
  <c r="M81" i="1"/>
  <c r="L81" i="1"/>
  <c r="K81" i="1"/>
  <c r="P81" i="1" s="1"/>
  <c r="J81" i="1"/>
  <c r="J80" i="1"/>
  <c r="K79" i="1"/>
  <c r="P79" i="1" s="1"/>
  <c r="J79" i="1"/>
  <c r="J78" i="1"/>
  <c r="K77" i="1"/>
  <c r="P77" i="1" s="1"/>
  <c r="J77" i="1"/>
  <c r="K76" i="1"/>
  <c r="P76" i="1" s="1"/>
  <c r="J76" i="1"/>
  <c r="P75" i="1"/>
  <c r="Q75" i="1" s="1"/>
  <c r="N75" i="1"/>
  <c r="M75" i="1"/>
  <c r="L75" i="1"/>
  <c r="K75" i="1"/>
  <c r="J75" i="1"/>
  <c r="J74" i="1"/>
  <c r="P73" i="1"/>
  <c r="Q73" i="1" s="1"/>
  <c r="N73" i="1"/>
  <c r="M73" i="1"/>
  <c r="L73" i="1"/>
  <c r="K73" i="1"/>
  <c r="J73" i="1"/>
  <c r="J72" i="1"/>
  <c r="K71" i="1"/>
  <c r="P71" i="1" s="1"/>
  <c r="Q71" i="1" s="1"/>
  <c r="J71" i="1"/>
  <c r="M70" i="1"/>
  <c r="L70" i="1"/>
  <c r="K70" i="1"/>
  <c r="N70" i="1" s="1"/>
  <c r="J70" i="1"/>
  <c r="J69" i="1"/>
  <c r="J68" i="1"/>
  <c r="K67" i="1"/>
  <c r="P67" i="1" s="1"/>
  <c r="J67" i="1"/>
  <c r="L66" i="1"/>
  <c r="J66" i="1"/>
  <c r="L65" i="1"/>
  <c r="J65" i="1"/>
  <c r="J64" i="1"/>
  <c r="P63" i="1"/>
  <c r="Q63" i="1" s="1"/>
  <c r="N63" i="1"/>
  <c r="L63" i="1"/>
  <c r="M63" i="1" s="1"/>
  <c r="K63" i="1"/>
  <c r="J63" i="1"/>
  <c r="M62" i="1"/>
  <c r="L62" i="1"/>
  <c r="K62" i="1"/>
  <c r="P62" i="1" s="1"/>
  <c r="Q62" i="1" s="1"/>
  <c r="J62" i="1"/>
  <c r="M61" i="1"/>
  <c r="L61" i="1"/>
  <c r="K61" i="1"/>
  <c r="P61" i="1" s="1"/>
  <c r="Q61" i="1" s="1"/>
  <c r="J61" i="1"/>
  <c r="N60" i="1"/>
  <c r="K60" i="1"/>
  <c r="P60" i="1" s="1"/>
  <c r="Q60" i="1" s="1"/>
  <c r="J60" i="1"/>
  <c r="L60" i="1" s="1"/>
  <c r="M60" i="1" s="1"/>
  <c r="J59" i="1"/>
  <c r="P58" i="1"/>
  <c r="Q58" i="1" s="1"/>
  <c r="N58" i="1"/>
  <c r="L58" i="1"/>
  <c r="M58" i="1" s="1"/>
  <c r="K58" i="1"/>
  <c r="J58" i="1"/>
  <c r="K57" i="1"/>
  <c r="P57" i="1" s="1"/>
  <c r="J57" i="1"/>
  <c r="J56" i="1"/>
  <c r="J55" i="1"/>
  <c r="J54" i="1"/>
  <c r="J53" i="1"/>
  <c r="L52" i="1"/>
  <c r="K52" i="1"/>
  <c r="P52" i="1" s="1"/>
  <c r="J52" i="1"/>
  <c r="Q51" i="1"/>
  <c r="P51" i="1"/>
  <c r="N51" i="1"/>
  <c r="L51" i="1"/>
  <c r="M51" i="1" s="1"/>
  <c r="K51" i="1"/>
  <c r="J51" i="1"/>
  <c r="L50" i="1"/>
  <c r="M50" i="1" s="1"/>
  <c r="K50" i="1"/>
  <c r="P50" i="1" s="1"/>
  <c r="Q50" i="1" s="1"/>
  <c r="J50" i="1"/>
  <c r="M49" i="1"/>
  <c r="L49" i="1"/>
  <c r="K49" i="1"/>
  <c r="N49" i="1" s="1"/>
  <c r="J49" i="1"/>
  <c r="L48" i="1"/>
  <c r="M48" i="1" s="1"/>
  <c r="J48" i="1"/>
  <c r="K48" i="1" s="1"/>
  <c r="J47" i="1"/>
  <c r="L46" i="1"/>
  <c r="M46" i="1" s="1"/>
  <c r="K46" i="1"/>
  <c r="P46" i="1" s="1"/>
  <c r="Q46" i="1" s="1"/>
  <c r="J46" i="1"/>
  <c r="J45" i="1"/>
  <c r="J44" i="1"/>
  <c r="N43" i="1"/>
  <c r="K43" i="1"/>
  <c r="P43" i="1" s="1"/>
  <c r="J43" i="1"/>
  <c r="J42" i="1"/>
  <c r="K42" i="1" s="1"/>
  <c r="P42" i="1" s="1"/>
  <c r="J41" i="1"/>
  <c r="J40" i="1"/>
  <c r="K39" i="1"/>
  <c r="P39" i="1" s="1"/>
  <c r="J39" i="1"/>
  <c r="J38" i="1"/>
  <c r="N37" i="1"/>
  <c r="L37" i="1"/>
  <c r="M37" i="1" s="1"/>
  <c r="K37" i="1"/>
  <c r="P37" i="1" s="1"/>
  <c r="Q37" i="1" s="1"/>
  <c r="J37" i="1"/>
  <c r="P36" i="1"/>
  <c r="Q36" i="1" s="1"/>
  <c r="N36" i="1"/>
  <c r="L36" i="1"/>
  <c r="M36" i="1" s="1"/>
  <c r="K36" i="1"/>
  <c r="J36" i="1"/>
  <c r="J35" i="1"/>
  <c r="L35" i="1" s="1"/>
  <c r="P34" i="1"/>
  <c r="Q34" i="1" s="1"/>
  <c r="N34" i="1"/>
  <c r="L34" i="1"/>
  <c r="J34" i="1"/>
  <c r="K34" i="1" s="1"/>
  <c r="L33" i="1"/>
  <c r="J33" i="1"/>
  <c r="Q32" i="1"/>
  <c r="P32" i="1"/>
  <c r="N32" i="1"/>
  <c r="M32" i="1"/>
  <c r="K32" i="1"/>
  <c r="J32" i="1"/>
  <c r="L32" i="1" s="1"/>
  <c r="L31" i="1"/>
  <c r="J31" i="1"/>
  <c r="Q30" i="1"/>
  <c r="P30" i="1"/>
  <c r="N30" i="1"/>
  <c r="L30" i="1"/>
  <c r="J30" i="1"/>
  <c r="K30" i="1" s="1"/>
  <c r="L29" i="1"/>
  <c r="J29" i="1"/>
  <c r="J28" i="1"/>
  <c r="K27" i="1"/>
  <c r="P27" i="1" s="1"/>
  <c r="J27" i="1"/>
  <c r="Q27" i="1" s="1"/>
  <c r="J26" i="1"/>
  <c r="L25" i="1"/>
  <c r="M25" i="1" s="1"/>
  <c r="K25" i="1"/>
  <c r="P25" i="1" s="1"/>
  <c r="Q25" i="1" s="1"/>
  <c r="J25" i="1"/>
  <c r="L24" i="1"/>
  <c r="J24" i="1"/>
  <c r="M23" i="1"/>
  <c r="K23" i="1"/>
  <c r="P23" i="1" s="1"/>
  <c r="Q23" i="1" s="1"/>
  <c r="J23" i="1"/>
  <c r="L23" i="1" s="1"/>
  <c r="L22" i="1"/>
  <c r="J22" i="1"/>
  <c r="J21" i="1"/>
  <c r="K20" i="1"/>
  <c r="P20" i="1" s="1"/>
  <c r="J20" i="1"/>
  <c r="P19" i="1"/>
  <c r="N19" i="1"/>
  <c r="K19" i="1"/>
  <c r="J19" i="1"/>
  <c r="J18" i="1"/>
  <c r="K18" i="1" s="1"/>
  <c r="P18" i="1" s="1"/>
  <c r="J17" i="1"/>
  <c r="L16" i="1"/>
  <c r="J16" i="1"/>
  <c r="K15" i="1"/>
  <c r="P15" i="1" s="1"/>
  <c r="Q15" i="1" s="1"/>
  <c r="J15" i="1"/>
  <c r="K14" i="1"/>
  <c r="P14" i="1" s="1"/>
  <c r="J14" i="1"/>
  <c r="Q14" i="1" s="1"/>
  <c r="N13" i="1"/>
  <c r="L13" i="1"/>
  <c r="M13" i="1" s="1"/>
  <c r="K13" i="1"/>
  <c r="P13" i="1" s="1"/>
  <c r="Q13" i="1" s="1"/>
  <c r="J13" i="1"/>
  <c r="L12" i="1"/>
  <c r="M12" i="1" s="1"/>
  <c r="K12" i="1"/>
  <c r="P12" i="1" s="1"/>
  <c r="Q12" i="1" s="1"/>
  <c r="J12" i="1"/>
  <c r="J11" i="1"/>
  <c r="L11" i="1" s="1"/>
  <c r="J10" i="1"/>
  <c r="K10" i="1" s="1"/>
  <c r="P10" i="1" s="1"/>
  <c r="L9" i="1"/>
  <c r="J9" i="1"/>
  <c r="K8" i="1"/>
  <c r="P8" i="1" s="1"/>
  <c r="Q8" i="1" s="1"/>
  <c r="J8" i="1"/>
  <c r="L8" i="1" s="1"/>
  <c r="M8" i="1" s="1"/>
  <c r="L7" i="1"/>
  <c r="J7" i="1"/>
  <c r="Q6" i="1"/>
  <c r="P6" i="1"/>
  <c r="N6" i="1"/>
  <c r="L6" i="1"/>
  <c r="J6" i="1"/>
  <c r="K6" i="1" s="1"/>
  <c r="L5" i="1"/>
  <c r="J5" i="1"/>
  <c r="L4" i="1"/>
  <c r="J4" i="1"/>
  <c r="K3" i="1"/>
  <c r="P3" i="1" s="1"/>
  <c r="J3" i="1"/>
  <c r="N458" i="1" l="1"/>
  <c r="Q5" i="1"/>
  <c r="P48" i="1"/>
  <c r="Q48" i="1" s="1"/>
  <c r="N48" i="1"/>
  <c r="P96" i="1"/>
  <c r="Q96" i="1" s="1"/>
  <c r="N96" i="1"/>
  <c r="Q192" i="1"/>
  <c r="Q77" i="1"/>
  <c r="Q7" i="1"/>
  <c r="K11" i="1"/>
  <c r="P11" i="1" s="1"/>
  <c r="L26" i="1"/>
  <c r="M26" i="1" s="1"/>
  <c r="L28" i="1"/>
  <c r="M41" i="1"/>
  <c r="K41" i="1"/>
  <c r="K55" i="1"/>
  <c r="P55" i="1" s="1"/>
  <c r="Q55" i="1" s="1"/>
  <c r="K64" i="1"/>
  <c r="P64" i="1" s="1"/>
  <c r="Q64" i="1" s="1"/>
  <c r="K69" i="1"/>
  <c r="P69" i="1" s="1"/>
  <c r="Q69" i="1" s="1"/>
  <c r="K122" i="1"/>
  <c r="P122" i="1" s="1"/>
  <c r="Q122" i="1" s="1"/>
  <c r="L132" i="1"/>
  <c r="M152" i="1"/>
  <c r="L152" i="1"/>
  <c r="K155" i="1"/>
  <c r="P155" i="1" s="1"/>
  <c r="L183" i="1"/>
  <c r="K183" i="1"/>
  <c r="P183" i="1" s="1"/>
  <c r="Q183" i="1" s="1"/>
  <c r="P186" i="1"/>
  <c r="Q186" i="1" s="1"/>
  <c r="N186" i="1"/>
  <c r="L192" i="1"/>
  <c r="L195" i="1"/>
  <c r="M195" i="1"/>
  <c r="K195" i="1"/>
  <c r="P195" i="1" s="1"/>
  <c r="Q195" i="1" s="1"/>
  <c r="L204" i="1"/>
  <c r="K213" i="1"/>
  <c r="P213" i="1" s="1"/>
  <c r="Q213" i="1" s="1"/>
  <c r="K222" i="1"/>
  <c r="P222" i="1" s="1"/>
  <c r="L264" i="1"/>
  <c r="M264" i="1" s="1"/>
  <c r="K264" i="1"/>
  <c r="P264" i="1" s="1"/>
  <c r="Q264" i="1" s="1"/>
  <c r="K274" i="1"/>
  <c r="P274" i="1" s="1"/>
  <c r="L274" i="1"/>
  <c r="L363" i="1"/>
  <c r="Q363" i="1"/>
  <c r="M363" i="1"/>
  <c r="Q407" i="1"/>
  <c r="N407" i="1"/>
  <c r="L407" i="1"/>
  <c r="M407" i="1" s="1"/>
  <c r="K407" i="1"/>
  <c r="P407" i="1" s="1"/>
  <c r="P410" i="1"/>
  <c r="Q410" i="1" s="1"/>
  <c r="N410" i="1"/>
  <c r="J683" i="1"/>
  <c r="K5" i="1"/>
  <c r="P5" i="1" s="1"/>
  <c r="K7" i="1"/>
  <c r="P7" i="1" s="1"/>
  <c r="K9" i="1"/>
  <c r="P9" i="1" s="1"/>
  <c r="Q9" i="1" s="1"/>
  <c r="M11" i="1"/>
  <c r="Q20" i="1"/>
  <c r="K22" i="1"/>
  <c r="P22" i="1" s="1"/>
  <c r="Q22" i="1" s="1"/>
  <c r="K24" i="1"/>
  <c r="P24" i="1" s="1"/>
  <c r="Q24" i="1" s="1"/>
  <c r="K26" i="1"/>
  <c r="P26" i="1" s="1"/>
  <c r="Q26" i="1" s="1"/>
  <c r="N39" i="1"/>
  <c r="L39" i="1"/>
  <c r="L41" i="1"/>
  <c r="N52" i="1"/>
  <c r="L55" i="1"/>
  <c r="L64" i="1"/>
  <c r="Q67" i="1"/>
  <c r="L69" i="1"/>
  <c r="M69" i="1" s="1"/>
  <c r="Q79" i="1"/>
  <c r="L90" i="1"/>
  <c r="N90" i="1"/>
  <c r="N111" i="1"/>
  <c r="L122" i="1"/>
  <c r="P137" i="1"/>
  <c r="Q137" i="1" s="1"/>
  <c r="K143" i="1"/>
  <c r="P143" i="1" s="1"/>
  <c r="Q143" i="1" s="1"/>
  <c r="M143" i="1"/>
  <c r="K152" i="1"/>
  <c r="P152" i="1" s="1"/>
  <c r="Q152" i="1" s="1"/>
  <c r="L155" i="1"/>
  <c r="M155" i="1" s="1"/>
  <c r="N163" i="1"/>
  <c r="L172" i="1"/>
  <c r="M183" i="1"/>
  <c r="N192" i="1"/>
  <c r="M201" i="1"/>
  <c r="K201" i="1"/>
  <c r="P201" i="1" s="1"/>
  <c r="K226" i="1"/>
  <c r="P226" i="1" s="1"/>
  <c r="Q226" i="1" s="1"/>
  <c r="L226" i="1"/>
  <c r="M226" i="1"/>
  <c r="N253" i="1"/>
  <c r="Q253" i="1"/>
  <c r="K253" i="1"/>
  <c r="P253" i="1" s="1"/>
  <c r="M274" i="1"/>
  <c r="N307" i="1"/>
  <c r="L307" i="1"/>
  <c r="M307" i="1" s="1"/>
  <c r="K307" i="1"/>
  <c r="P307" i="1" s="1"/>
  <c r="Q307" i="1" s="1"/>
  <c r="M331" i="1"/>
  <c r="Q331" i="1"/>
  <c r="N331" i="1"/>
  <c r="L331" i="1"/>
  <c r="N336" i="1"/>
  <c r="M336" i="1"/>
  <c r="K342" i="1"/>
  <c r="P342" i="1" s="1"/>
  <c r="Q342" i="1" s="1"/>
  <c r="Q347" i="1"/>
  <c r="N347" i="1"/>
  <c r="K363" i="1"/>
  <c r="P363" i="1" s="1"/>
  <c r="P432" i="1"/>
  <c r="Q432" i="1" s="1"/>
  <c r="N432" i="1"/>
  <c r="N11" i="1"/>
  <c r="N50" i="1"/>
  <c r="L53" i="1"/>
  <c r="M53" i="1" s="1"/>
  <c r="M72" i="1"/>
  <c r="K74" i="1"/>
  <c r="P74" i="1" s="1"/>
  <c r="Q84" i="1"/>
  <c r="L104" i="1"/>
  <c r="M104" i="1" s="1"/>
  <c r="Q104" i="1"/>
  <c r="L117" i="1"/>
  <c r="Q117" i="1"/>
  <c r="K117" i="1"/>
  <c r="P117" i="1" s="1"/>
  <c r="M122" i="1"/>
  <c r="L135" i="1"/>
  <c r="M135" i="1" s="1"/>
  <c r="K135" i="1"/>
  <c r="P135" i="1" s="1"/>
  <c r="Q135" i="1" s="1"/>
  <c r="Q150" i="1"/>
  <c r="M164" i="1"/>
  <c r="N164" i="1"/>
  <c r="Q167" i="1"/>
  <c r="K167" i="1"/>
  <c r="P167" i="1" s="1"/>
  <c r="N167" i="1"/>
  <c r="L167" i="1"/>
  <c r="M167" i="1" s="1"/>
  <c r="M172" i="1"/>
  <c r="N174" i="1"/>
  <c r="K198" i="1"/>
  <c r="P198" i="1" s="1"/>
  <c r="Q198" i="1" s="1"/>
  <c r="K220" i="1"/>
  <c r="P220" i="1" s="1"/>
  <c r="Q220" i="1" s="1"/>
  <c r="L253" i="1"/>
  <c r="M253" i="1" s="1"/>
  <c r="M260" i="1"/>
  <c r="L260" i="1"/>
  <c r="K260" i="1"/>
  <c r="P260" i="1" s="1"/>
  <c r="Q274" i="1"/>
  <c r="P282" i="1"/>
  <c r="Q282" i="1" s="1"/>
  <c r="N282" i="1"/>
  <c r="K286" i="1"/>
  <c r="P286" i="1" s="1"/>
  <c r="Q286" i="1" s="1"/>
  <c r="N286" i="1"/>
  <c r="M286" i="1"/>
  <c r="L342" i="1"/>
  <c r="M342" i="1" s="1"/>
  <c r="L3" i="1"/>
  <c r="M5" i="1"/>
  <c r="M7" i="1"/>
  <c r="M9" i="1"/>
  <c r="Q11" i="1"/>
  <c r="M16" i="1"/>
  <c r="L18" i="1"/>
  <c r="L20" i="1"/>
  <c r="M22" i="1"/>
  <c r="M24" i="1"/>
  <c r="N33" i="1"/>
  <c r="K35" i="1"/>
  <c r="M39" i="1"/>
  <c r="K53" i="1"/>
  <c r="P53" i="1" s="1"/>
  <c r="Q53" i="1" s="1"/>
  <c r="L56" i="1"/>
  <c r="M56" i="1" s="1"/>
  <c r="K56" i="1"/>
  <c r="N62" i="1"/>
  <c r="L67" i="1"/>
  <c r="K72" i="1"/>
  <c r="P72" i="1" s="1"/>
  <c r="Q72" i="1" s="1"/>
  <c r="L74" i="1"/>
  <c r="M74" i="1" s="1"/>
  <c r="N76" i="1"/>
  <c r="L79" i="1"/>
  <c r="M79" i="1" s="1"/>
  <c r="K84" i="1"/>
  <c r="P84" i="1" s="1"/>
  <c r="K88" i="1"/>
  <c r="P88" i="1" s="1"/>
  <c r="Q88" i="1" s="1"/>
  <c r="M90" i="1"/>
  <c r="N92" i="1"/>
  <c r="K104" i="1"/>
  <c r="P104" i="1" s="1"/>
  <c r="K107" i="1"/>
  <c r="P107" i="1" s="1"/>
  <c r="Q107" i="1" s="1"/>
  <c r="L112" i="1"/>
  <c r="K112" i="1"/>
  <c r="M117" i="1"/>
  <c r="N122" i="1"/>
  <c r="N127" i="1"/>
  <c r="K130" i="1"/>
  <c r="P130" i="1" s="1"/>
  <c r="Q130" i="1" s="1"/>
  <c r="L130" i="1"/>
  <c r="M130" i="1" s="1"/>
  <c r="N130" i="1"/>
  <c r="N133" i="1"/>
  <c r="L133" i="1"/>
  <c r="M133" i="1" s="1"/>
  <c r="L148" i="1"/>
  <c r="K150" i="1"/>
  <c r="P150" i="1" s="1"/>
  <c r="M153" i="1"/>
  <c r="K156" i="1"/>
  <c r="P156" i="1" s="1"/>
  <c r="Q156" i="1" s="1"/>
  <c r="M156" i="1"/>
  <c r="L156" i="1"/>
  <c r="K164" i="1"/>
  <c r="P164" i="1" s="1"/>
  <c r="Q164" i="1" s="1"/>
  <c r="N172" i="1"/>
  <c r="K178" i="1"/>
  <c r="P178" i="1" s="1"/>
  <c r="L178" i="1"/>
  <c r="M178" i="1" s="1"/>
  <c r="L198" i="1"/>
  <c r="M198" i="1" s="1"/>
  <c r="N201" i="1"/>
  <c r="Q205" i="1"/>
  <c r="K205" i="1"/>
  <c r="P205" i="1" s="1"/>
  <c r="N207" i="1"/>
  <c r="K214" i="1"/>
  <c r="P214" i="1" s="1"/>
  <c r="Q214" i="1" s="1"/>
  <c r="L214" i="1"/>
  <c r="L220" i="1"/>
  <c r="M227" i="1"/>
  <c r="N257" i="1"/>
  <c r="P257" i="1"/>
  <c r="Q257" i="1" s="1"/>
  <c r="L268" i="1"/>
  <c r="M268" i="1" s="1"/>
  <c r="L286" i="1"/>
  <c r="L336" i="1"/>
  <c r="P340" i="1"/>
  <c r="Q340" i="1" s="1"/>
  <c r="N340" i="1"/>
  <c r="L347" i="1"/>
  <c r="M347" i="1" s="1"/>
  <c r="M28" i="1"/>
  <c r="K28" i="1"/>
  <c r="P28" i="1" s="1"/>
  <c r="Q28" i="1" s="1"/>
  <c r="M222" i="1"/>
  <c r="Q222" i="1"/>
  <c r="N222" i="1"/>
  <c r="M3" i="1"/>
  <c r="N5" i="1"/>
  <c r="K16" i="1"/>
  <c r="P16" i="1" s="1"/>
  <c r="Q16" i="1" s="1"/>
  <c r="M18" i="1"/>
  <c r="M20" i="1"/>
  <c r="K29" i="1"/>
  <c r="P29" i="1" s="1"/>
  <c r="Q29" i="1" s="1"/>
  <c r="K31" i="1"/>
  <c r="P31" i="1" s="1"/>
  <c r="Q31" i="1" s="1"/>
  <c r="K33" i="1"/>
  <c r="P33" i="1" s="1"/>
  <c r="Q33" i="1" s="1"/>
  <c r="M35" i="1"/>
  <c r="L44" i="1"/>
  <c r="M44" i="1" s="1"/>
  <c r="K44" i="1"/>
  <c r="P44" i="1" s="1"/>
  <c r="N46" i="1"/>
  <c r="K65" i="1"/>
  <c r="P65" i="1" s="1"/>
  <c r="Q65" i="1" s="1"/>
  <c r="M67" i="1"/>
  <c r="L72" i="1"/>
  <c r="N74" i="1"/>
  <c r="L84" i="1"/>
  <c r="K86" i="1"/>
  <c r="P86" i="1" s="1"/>
  <c r="Q86" i="1" s="1"/>
  <c r="L88" i="1"/>
  <c r="M88" i="1" s="1"/>
  <c r="Q90" i="1"/>
  <c r="N104" i="1"/>
  <c r="L107" i="1"/>
  <c r="M107" i="1" s="1"/>
  <c r="M112" i="1"/>
  <c r="N114" i="1"/>
  <c r="N120" i="1"/>
  <c r="K133" i="1"/>
  <c r="P133" i="1" s="1"/>
  <c r="Q146" i="1"/>
  <c r="N146" i="1"/>
  <c r="M148" i="1"/>
  <c r="L150" i="1"/>
  <c r="M150" i="1" s="1"/>
  <c r="K153" i="1"/>
  <c r="P153" i="1" s="1"/>
  <c r="Q153" i="1" s="1"/>
  <c r="L164" i="1"/>
  <c r="Q170" i="1"/>
  <c r="Q172" i="1"/>
  <c r="Q178" i="1"/>
  <c r="L184" i="1"/>
  <c r="M184" i="1" s="1"/>
  <c r="K184" i="1"/>
  <c r="P184" i="1" s="1"/>
  <c r="Q184" i="1"/>
  <c r="N184" i="1"/>
  <c r="N196" i="1"/>
  <c r="L205" i="1"/>
  <c r="M205" i="1" s="1"/>
  <c r="L208" i="1"/>
  <c r="M208" i="1" s="1"/>
  <c r="K208" i="1"/>
  <c r="M214" i="1"/>
  <c r="M220" i="1"/>
  <c r="K227" i="1"/>
  <c r="P227" i="1" s="1"/>
  <c r="Q227" i="1" s="1"/>
  <c r="M236" i="1"/>
  <c r="N236" i="1"/>
  <c r="N249" i="1"/>
  <c r="P254" i="1"/>
  <c r="Q254" i="1" s="1"/>
  <c r="N254" i="1"/>
  <c r="Q260" i="1"/>
  <c r="K268" i="1"/>
  <c r="P278" i="1"/>
  <c r="Q278" i="1" s="1"/>
  <c r="P290" i="1"/>
  <c r="N290" i="1"/>
  <c r="L304" i="1"/>
  <c r="M304" i="1" s="1"/>
  <c r="K304" i="1"/>
  <c r="P304" i="1" s="1"/>
  <c r="Q304" i="1" s="1"/>
  <c r="P332" i="1"/>
  <c r="Q332" i="1" s="1"/>
  <c r="N332" i="1"/>
  <c r="Q336" i="1"/>
  <c r="K348" i="1"/>
  <c r="P348" i="1" s="1"/>
  <c r="Q348" i="1" s="1"/>
  <c r="L348" i="1"/>
  <c r="M348" i="1" s="1"/>
  <c r="N403" i="1"/>
  <c r="L403" i="1"/>
  <c r="M403" i="1" s="1"/>
  <c r="Q403" i="1"/>
  <c r="M416" i="1"/>
  <c r="K416" i="1"/>
  <c r="P416" i="1" s="1"/>
  <c r="Q416" i="1"/>
  <c r="N3" i="1"/>
  <c r="N18" i="1"/>
  <c r="N20" i="1"/>
  <c r="Q39" i="1"/>
  <c r="N67" i="1"/>
  <c r="N72" i="1"/>
  <c r="Q74" i="1"/>
  <c r="N79" i="1"/>
  <c r="M84" i="1"/>
  <c r="M95" i="1"/>
  <c r="Q95" i="1"/>
  <c r="M102" i="1"/>
  <c r="K115" i="1"/>
  <c r="P115" i="1" s="1"/>
  <c r="Q115" i="1" s="1"/>
  <c r="L123" i="1"/>
  <c r="M123" i="1" s="1"/>
  <c r="K123" i="1"/>
  <c r="P123" i="1" s="1"/>
  <c r="L136" i="1"/>
  <c r="K136" i="1"/>
  <c r="P136" i="1" s="1"/>
  <c r="L141" i="1"/>
  <c r="M141" i="1" s="1"/>
  <c r="N141" i="1"/>
  <c r="N148" i="1"/>
  <c r="P161" i="1"/>
  <c r="Q161" i="1" s="1"/>
  <c r="Q201" i="1"/>
  <c r="M240" i="1"/>
  <c r="L240" i="1"/>
  <c r="K240" i="1"/>
  <c r="P240" i="1" s="1"/>
  <c r="Q240" i="1" s="1"/>
  <c r="M246" i="1"/>
  <c r="Q246" i="1"/>
  <c r="N246" i="1"/>
  <c r="L246" i="1"/>
  <c r="K246" i="1"/>
  <c r="P246" i="1" s="1"/>
  <c r="L261" i="1"/>
  <c r="N261" i="1"/>
  <c r="Q261" i="1"/>
  <c r="M261" i="1"/>
  <c r="N365" i="1"/>
  <c r="P365" i="1"/>
  <c r="Q365" i="1" s="1"/>
  <c r="N445" i="1"/>
  <c r="L445" i="1"/>
  <c r="K445" i="1"/>
  <c r="P445" i="1" s="1"/>
  <c r="Q445" i="1"/>
  <c r="N478" i="1"/>
  <c r="K478" i="1"/>
  <c r="P478" i="1" s="1"/>
  <c r="Q478" i="1" s="1"/>
  <c r="K311" i="1"/>
  <c r="P311" i="1" s="1"/>
  <c r="Q311" i="1" s="1"/>
  <c r="N311" i="1"/>
  <c r="M311" i="1"/>
  <c r="L311" i="1"/>
  <c r="M29" i="1"/>
  <c r="M33" i="1"/>
  <c r="L42" i="1"/>
  <c r="L77" i="1"/>
  <c r="N84" i="1"/>
  <c r="M86" i="1"/>
  <c r="K95" i="1"/>
  <c r="P95" i="1" s="1"/>
  <c r="L100" i="1"/>
  <c r="M100" i="1" s="1"/>
  <c r="K102" i="1"/>
  <c r="P102" i="1" s="1"/>
  <c r="Q102" i="1" s="1"/>
  <c r="K105" i="1"/>
  <c r="P105" i="1" s="1"/>
  <c r="Q105" i="1" s="1"/>
  <c r="L115" i="1"/>
  <c r="M115" i="1" s="1"/>
  <c r="M118" i="1"/>
  <c r="L128" i="1"/>
  <c r="M128" i="1" s="1"/>
  <c r="K128" i="1"/>
  <c r="P128" i="1" s="1"/>
  <c r="Q128" i="1" s="1"/>
  <c r="Q133" i="1"/>
  <c r="M136" i="1"/>
  <c r="N138" i="1"/>
  <c r="K141" i="1"/>
  <c r="P141" i="1" s="1"/>
  <c r="L144" i="1"/>
  <c r="M144" i="1" s="1"/>
  <c r="L146" i="1"/>
  <c r="N153" i="1"/>
  <c r="L159" i="1"/>
  <c r="L165" i="1"/>
  <c r="K165" i="1"/>
  <c r="P165" i="1" s="1"/>
  <c r="Q165" i="1" s="1"/>
  <c r="L170" i="1"/>
  <c r="N187" i="1"/>
  <c r="K202" i="1"/>
  <c r="P202" i="1" s="1"/>
  <c r="L202" i="1"/>
  <c r="N202" i="1"/>
  <c r="Q202" i="1"/>
  <c r="K211" i="1"/>
  <c r="P211" i="1" s="1"/>
  <c r="Q211" i="1" s="1"/>
  <c r="Q215" i="1"/>
  <c r="K215" i="1"/>
  <c r="P215" i="1" s="1"/>
  <c r="N215" i="1"/>
  <c r="L215" i="1"/>
  <c r="M215" i="1" s="1"/>
  <c r="P223" i="1"/>
  <c r="Q223" i="1" s="1"/>
  <c r="L236" i="1"/>
  <c r="K261" i="1"/>
  <c r="P261" i="1" s="1"/>
  <c r="P271" i="1"/>
  <c r="Q271" i="1" s="1"/>
  <c r="L279" i="1"/>
  <c r="N279" i="1"/>
  <c r="M279" i="1"/>
  <c r="K279" i="1"/>
  <c r="P279" i="1" s="1"/>
  <c r="Q279" i="1" s="1"/>
  <c r="K297" i="1"/>
  <c r="P297" i="1" s="1"/>
  <c r="Q297" i="1" s="1"/>
  <c r="Q314" i="1"/>
  <c r="N314" i="1"/>
  <c r="L314" i="1"/>
  <c r="M314" i="1" s="1"/>
  <c r="K314" i="1"/>
  <c r="P314" i="1" s="1"/>
  <c r="M445" i="1"/>
  <c r="L478" i="1"/>
  <c r="M478" i="1" s="1"/>
  <c r="M55" i="1"/>
  <c r="P398" i="1"/>
  <c r="Q398" i="1" s="1"/>
  <c r="N398" i="1"/>
  <c r="Q458" i="1"/>
  <c r="M458" i="1"/>
  <c r="L458" i="1"/>
  <c r="K458" i="1"/>
  <c r="P458" i="1" s="1"/>
  <c r="Q559" i="1"/>
  <c r="L10" i="1"/>
  <c r="M10" i="1" s="1"/>
  <c r="L14" i="1"/>
  <c r="M14" i="1" s="1"/>
  <c r="L27" i="1"/>
  <c r="M31" i="1"/>
  <c r="M40" i="1"/>
  <c r="N44" i="1"/>
  <c r="M65" i="1"/>
  <c r="Q18" i="1"/>
  <c r="N21" i="1"/>
  <c r="K21" i="1"/>
  <c r="P21" i="1" s="1"/>
  <c r="Q21" i="1" s="1"/>
  <c r="M27" i="1"/>
  <c r="N29" i="1"/>
  <c r="N31" i="1"/>
  <c r="K40" i="1"/>
  <c r="P40" i="1" s="1"/>
  <c r="Q40" i="1" s="1"/>
  <c r="M42" i="1"/>
  <c r="L47" i="1"/>
  <c r="M47" i="1" s="1"/>
  <c r="K47" i="1"/>
  <c r="P47" i="1" s="1"/>
  <c r="Q47" i="1" s="1"/>
  <c r="K54" i="1"/>
  <c r="P54" i="1" s="1"/>
  <c r="L59" i="1"/>
  <c r="M59" i="1" s="1"/>
  <c r="N59" i="1"/>
  <c r="N65" i="1"/>
  <c r="M77" i="1"/>
  <c r="L80" i="1"/>
  <c r="K80" i="1"/>
  <c r="P80" i="1" s="1"/>
  <c r="L95" i="1"/>
  <c r="L102" i="1"/>
  <c r="L105" i="1"/>
  <c r="N118" i="1"/>
  <c r="N128" i="1"/>
  <c r="N136" i="1"/>
  <c r="M146" i="1"/>
  <c r="K157" i="1"/>
  <c r="P157" i="1" s="1"/>
  <c r="Q157" i="1" s="1"/>
  <c r="K159" i="1"/>
  <c r="P159" i="1" s="1"/>
  <c r="Q159" i="1" s="1"/>
  <c r="M165" i="1"/>
  <c r="M170" i="1"/>
  <c r="P175" i="1"/>
  <c r="Q175" i="1" s="1"/>
  <c r="M202" i="1"/>
  <c r="L211" i="1"/>
  <c r="M211" i="1" s="1"/>
  <c r="Q218" i="1"/>
  <c r="L224" i="1"/>
  <c r="M224" i="1" s="1"/>
  <c r="Q236" i="1"/>
  <c r="L243" i="1"/>
  <c r="M243" i="1"/>
  <c r="K243" i="1"/>
  <c r="P243" i="1" s="1"/>
  <c r="Q243" i="1" s="1"/>
  <c r="P247" i="1"/>
  <c r="Q247" i="1" s="1"/>
  <c r="N247" i="1"/>
  <c r="K262" i="1"/>
  <c r="P262" i="1" s="1"/>
  <c r="Q262" i="1" s="1"/>
  <c r="L262" i="1"/>
  <c r="L297" i="1"/>
  <c r="M297" i="1" s="1"/>
  <c r="L315" i="1"/>
  <c r="M315" i="1" s="1"/>
  <c r="K315" i="1"/>
  <c r="P315" i="1" s="1"/>
  <c r="Q315" i="1" s="1"/>
  <c r="P318" i="1"/>
  <c r="Q318" i="1" s="1"/>
  <c r="N318" i="1"/>
  <c r="P383" i="1"/>
  <c r="L429" i="1"/>
  <c r="M429" i="1"/>
  <c r="K429" i="1"/>
  <c r="P429" i="1" s="1"/>
  <c r="Q429" i="1" s="1"/>
  <c r="P474" i="1"/>
  <c r="Q474" i="1" s="1"/>
  <c r="N474" i="1"/>
  <c r="M4" i="1"/>
  <c r="N4" i="1"/>
  <c r="K4" i="1"/>
  <c r="P4" i="1" s="1"/>
  <c r="Q4" i="1" s="1"/>
  <c r="N10" i="1"/>
  <c r="N12" i="1"/>
  <c r="N14" i="1"/>
  <c r="L21" i="1"/>
  <c r="N27" i="1"/>
  <c r="K38" i="1"/>
  <c r="L40" i="1"/>
  <c r="N42" i="1"/>
  <c r="Q44" i="1"/>
  <c r="P49" i="1"/>
  <c r="Q49" i="1" s="1"/>
  <c r="L54" i="1"/>
  <c r="M54" i="1" s="1"/>
  <c r="N57" i="1"/>
  <c r="Q57" i="1"/>
  <c r="K59" i="1"/>
  <c r="P59" i="1" s="1"/>
  <c r="P70" i="1"/>
  <c r="Q70" i="1" s="1"/>
  <c r="N77" i="1"/>
  <c r="M80" i="1"/>
  <c r="N82" i="1"/>
  <c r="N91" i="1"/>
  <c r="N95" i="1"/>
  <c r="K98" i="1"/>
  <c r="N100" i="1"/>
  <c r="N102" i="1"/>
  <c r="M105" i="1"/>
  <c r="K108" i="1"/>
  <c r="P108" i="1" s="1"/>
  <c r="Q108" i="1" s="1"/>
  <c r="L108" i="1"/>
  <c r="M108" i="1" s="1"/>
  <c r="N110" i="1"/>
  <c r="M116" i="1"/>
  <c r="Q123" i="1"/>
  <c r="Q139" i="1"/>
  <c r="Q141" i="1"/>
  <c r="N144" i="1"/>
  <c r="K154" i="1"/>
  <c r="P154" i="1" s="1"/>
  <c r="L154" i="1"/>
  <c r="M154" i="1" s="1"/>
  <c r="L157" i="1"/>
  <c r="M159" i="1"/>
  <c r="N168" i="1"/>
  <c r="N170" i="1"/>
  <c r="L176" i="1"/>
  <c r="M176" i="1" s="1"/>
  <c r="K176" i="1"/>
  <c r="Q203" i="1"/>
  <c r="M203" i="1"/>
  <c r="K203" i="1"/>
  <c r="P203" i="1" s="1"/>
  <c r="M212" i="1"/>
  <c r="Q212" i="1"/>
  <c r="N212" i="1"/>
  <c r="K212" i="1"/>
  <c r="P212" i="1" s="1"/>
  <c r="Q216" i="1"/>
  <c r="N216" i="1"/>
  <c r="K218" i="1"/>
  <c r="P218" i="1" s="1"/>
  <c r="K224" i="1"/>
  <c r="P224" i="1" s="1"/>
  <c r="Q224" i="1" s="1"/>
  <c r="L231" i="1"/>
  <c r="M231" i="1" s="1"/>
  <c r="Q231" i="1"/>
  <c r="M251" i="1"/>
  <c r="L251" i="1"/>
  <c r="K251" i="1"/>
  <c r="M262" i="1"/>
  <c r="L272" i="1"/>
  <c r="M272" i="1" s="1"/>
  <c r="Q272" i="1"/>
  <c r="N272" i="1"/>
  <c r="K272" i="1"/>
  <c r="P272" i="1" s="1"/>
  <c r="N283" i="1"/>
  <c r="K322" i="1"/>
  <c r="P322" i="1" s="1"/>
  <c r="Q322" i="1" s="1"/>
  <c r="L322" i="1"/>
  <c r="M322" i="1"/>
  <c r="N400" i="1"/>
  <c r="N413" i="1"/>
  <c r="P413" i="1"/>
  <c r="Q413" i="1" s="1"/>
  <c r="Q465" i="1"/>
  <c r="L465" i="1"/>
  <c r="K465" i="1"/>
  <c r="P465" i="1" s="1"/>
  <c r="N465" i="1"/>
  <c r="M465" i="1"/>
  <c r="Q3" i="1"/>
  <c r="N80" i="1"/>
  <c r="N93" i="1"/>
  <c r="N105" i="1"/>
  <c r="K142" i="1"/>
  <c r="K166" i="1"/>
  <c r="K191" i="1"/>
  <c r="P191" i="1" s="1"/>
  <c r="Q191" i="1" s="1"/>
  <c r="N191" i="1"/>
  <c r="M191" i="1"/>
  <c r="Q263" i="1"/>
  <c r="K263" i="1"/>
  <c r="P263" i="1" s="1"/>
  <c r="N263" i="1"/>
  <c r="M263" i="1"/>
  <c r="N277" i="1"/>
  <c r="M277" i="1"/>
  <c r="L277" i="1"/>
  <c r="M64" i="1"/>
  <c r="K78" i="1"/>
  <c r="P78" i="1" s="1"/>
  <c r="Q78" i="1" s="1"/>
  <c r="L78" i="1"/>
  <c r="M78" i="1" s="1"/>
  <c r="K132" i="1"/>
  <c r="P132" i="1" s="1"/>
  <c r="Q132" i="1" s="1"/>
  <c r="N132" i="1"/>
  <c r="M132" i="1"/>
  <c r="Q155" i="1"/>
  <c r="M192" i="1"/>
  <c r="K192" i="1"/>
  <c r="P192" i="1" s="1"/>
  <c r="K204" i="1"/>
  <c r="P204" i="1" s="1"/>
  <c r="Q204" i="1" s="1"/>
  <c r="M204" i="1"/>
  <c r="L213" i="1"/>
  <c r="M213" i="1" s="1"/>
  <c r="N213" i="1"/>
  <c r="L219" i="1"/>
  <c r="M219" i="1"/>
  <c r="K219" i="1"/>
  <c r="P219" i="1" s="1"/>
  <c r="Q219" i="1" s="1"/>
  <c r="K252" i="1"/>
  <c r="P252" i="1" s="1"/>
  <c r="M252" i="1"/>
  <c r="Q252" i="1"/>
  <c r="N281" i="1"/>
  <c r="P281" i="1"/>
  <c r="Q281" i="1" s="1"/>
  <c r="P306" i="1"/>
  <c r="Q306" i="1" s="1"/>
  <c r="N306" i="1"/>
  <c r="Q545" i="1"/>
  <c r="N8" i="1"/>
  <c r="K17" i="1"/>
  <c r="M21" i="1"/>
  <c r="N23" i="1"/>
  <c r="N25" i="1"/>
  <c r="L38" i="1"/>
  <c r="M38" i="1" s="1"/>
  <c r="N45" i="1"/>
  <c r="Q45" i="1"/>
  <c r="M45" i="1"/>
  <c r="K45" i="1"/>
  <c r="P45" i="1" s="1"/>
  <c r="N61" i="1"/>
  <c r="L98" i="1"/>
  <c r="Q118" i="1"/>
  <c r="K124" i="1"/>
  <c r="N131" i="1"/>
  <c r="Q136" i="1"/>
  <c r="M157" i="1"/>
  <c r="N159" i="1"/>
  <c r="N179" i="1"/>
  <c r="N209" i="1"/>
  <c r="P209" i="1"/>
  <c r="Q209" i="1" s="1"/>
  <c r="L218" i="1"/>
  <c r="M218" i="1" s="1"/>
  <c r="N224" i="1"/>
  <c r="P255" i="1"/>
  <c r="N255" i="1"/>
  <c r="Q10" i="1"/>
  <c r="N15" i="1"/>
  <c r="L15" i="1"/>
  <c r="M15" i="1" s="1"/>
  <c r="L17" i="1"/>
  <c r="M17" i="1" s="1"/>
  <c r="M34" i="1"/>
  <c r="Q42" i="1"/>
  <c r="L45" i="1"/>
  <c r="M52" i="1"/>
  <c r="Q52" i="1"/>
  <c r="Q54" i="1"/>
  <c r="L57" i="1"/>
  <c r="M57" i="1" s="1"/>
  <c r="Q59" i="1"/>
  <c r="L71" i="1"/>
  <c r="M71" i="1" s="1"/>
  <c r="N71" i="1"/>
  <c r="Q80" i="1"/>
  <c r="M98" i="1"/>
  <c r="N109" i="1"/>
  <c r="L111" i="1"/>
  <c r="M111" i="1" s="1"/>
  <c r="Q111" i="1"/>
  <c r="L116" i="1"/>
  <c r="K119" i="1"/>
  <c r="P119" i="1" s="1"/>
  <c r="Q119" i="1" s="1"/>
  <c r="M119" i="1"/>
  <c r="L124" i="1"/>
  <c r="M124" i="1" s="1"/>
  <c r="N126" i="1"/>
  <c r="L139" i="1"/>
  <c r="M139" i="1" s="1"/>
  <c r="L142" i="1"/>
  <c r="M142" i="1" s="1"/>
  <c r="Q154" i="1"/>
  <c r="L160" i="1"/>
  <c r="M160" i="1" s="1"/>
  <c r="K160" i="1"/>
  <c r="M163" i="1"/>
  <c r="Q163" i="1"/>
  <c r="L166" i="1"/>
  <c r="M166" i="1" s="1"/>
  <c r="L171" i="1"/>
  <c r="M171" i="1"/>
  <c r="K171" i="1"/>
  <c r="P171" i="1" s="1"/>
  <c r="Q171" i="1"/>
  <c r="N171" i="1"/>
  <c r="Q177" i="1"/>
  <c r="N177" i="1"/>
  <c r="L191" i="1"/>
  <c r="N203" i="1"/>
  <c r="L216" i="1"/>
  <c r="M216" i="1" s="1"/>
  <c r="N218" i="1"/>
  <c r="L225" i="1"/>
  <c r="M225" i="1" s="1"/>
  <c r="K225" i="1"/>
  <c r="P225" i="1" s="1"/>
  <c r="Q225" i="1" s="1"/>
  <c r="L256" i="1"/>
  <c r="M256" i="1" s="1"/>
  <c r="K256" i="1"/>
  <c r="L263" i="1"/>
  <c r="K277" i="1"/>
  <c r="P277" i="1" s="1"/>
  <c r="Q277" i="1" s="1"/>
  <c r="N288" i="1"/>
  <c r="Q338" i="1"/>
  <c r="N338" i="1"/>
  <c r="M338" i="1"/>
  <c r="L338" i="1"/>
  <c r="M345" i="1"/>
  <c r="L345" i="1"/>
  <c r="K345" i="1"/>
  <c r="M457" i="1"/>
  <c r="L457" i="1"/>
  <c r="K457" i="1"/>
  <c r="P457" i="1" s="1"/>
  <c r="Q457" i="1" s="1"/>
  <c r="M469" i="1"/>
  <c r="L469" i="1"/>
  <c r="K469" i="1"/>
  <c r="P469" i="1" s="1"/>
  <c r="Q469" i="1"/>
  <c r="M270" i="1"/>
  <c r="K373" i="1"/>
  <c r="P373" i="1" s="1"/>
  <c r="Q373" i="1" s="1"/>
  <c r="L386" i="1"/>
  <c r="M392" i="1"/>
  <c r="K392" i="1"/>
  <c r="P392" i="1" s="1"/>
  <c r="Q392" i="1" s="1"/>
  <c r="L392" i="1"/>
  <c r="Q400" i="1"/>
  <c r="Q417" i="1"/>
  <c r="L417" i="1"/>
  <c r="K417" i="1"/>
  <c r="P417" i="1" s="1"/>
  <c r="M417" i="1"/>
  <c r="L470" i="1"/>
  <c r="M470" i="1" s="1"/>
  <c r="M482" i="1"/>
  <c r="L482" i="1"/>
  <c r="L488" i="1"/>
  <c r="M488" i="1" s="1"/>
  <c r="K488" i="1"/>
  <c r="P488" i="1" s="1"/>
  <c r="Q488" i="1" s="1"/>
  <c r="P517" i="1"/>
  <c r="Q517" i="1" s="1"/>
  <c r="N517" i="1"/>
  <c r="P552" i="1"/>
  <c r="Q552" i="1" s="1"/>
  <c r="N552" i="1"/>
  <c r="Q249" i="1"/>
  <c r="M259" i="1"/>
  <c r="Q259" i="1"/>
  <c r="K270" i="1"/>
  <c r="K275" i="1"/>
  <c r="P275" i="1" s="1"/>
  <c r="Q275" i="1" s="1"/>
  <c r="K284" i="1"/>
  <c r="Q288" i="1"/>
  <c r="K300" i="1"/>
  <c r="P300" i="1" s="1"/>
  <c r="Q300" i="1" s="1"/>
  <c r="M300" i="1"/>
  <c r="L309" i="1"/>
  <c r="M309" i="1" s="1"/>
  <c r="L320" i="1"/>
  <c r="M320" i="1" s="1"/>
  <c r="K325" i="1"/>
  <c r="P325" i="1" s="1"/>
  <c r="Q325" i="1" s="1"/>
  <c r="L327" i="1"/>
  <c r="M327" i="1" s="1"/>
  <c r="L334" i="1"/>
  <c r="K361" i="1"/>
  <c r="P361" i="1" s="1"/>
  <c r="L373" i="1"/>
  <c r="M373" i="1" s="1"/>
  <c r="Q376" i="1"/>
  <c r="K376" i="1"/>
  <c r="P376" i="1" s="1"/>
  <c r="N376" i="1"/>
  <c r="K386" i="1"/>
  <c r="P386" i="1" s="1"/>
  <c r="Q386" i="1" s="1"/>
  <c r="N417" i="1"/>
  <c r="M446" i="1"/>
  <c r="L446" i="1"/>
  <c r="K470" i="1"/>
  <c r="P470" i="1" s="1"/>
  <c r="Q470" i="1" s="1"/>
  <c r="K482" i="1"/>
  <c r="P482" i="1" s="1"/>
  <c r="Q482" i="1" s="1"/>
  <c r="M489" i="1"/>
  <c r="L489" i="1"/>
  <c r="K489" i="1"/>
  <c r="P489" i="1" s="1"/>
  <c r="Q489" i="1" s="1"/>
  <c r="K180" i="1"/>
  <c r="P180" i="1" s="1"/>
  <c r="Q180" i="1" s="1"/>
  <c r="N180" i="1"/>
  <c r="M180" i="1"/>
  <c r="L189" i="1"/>
  <c r="M189" i="1" s="1"/>
  <c r="N189" i="1"/>
  <c r="M200" i="1"/>
  <c r="L200" i="1"/>
  <c r="Q200" i="1"/>
  <c r="L207" i="1"/>
  <c r="Q207" i="1"/>
  <c r="L232" i="1"/>
  <c r="M232" i="1" s="1"/>
  <c r="K232" i="1"/>
  <c r="P232" i="1" s="1"/>
  <c r="K239" i="1"/>
  <c r="P239" i="1" s="1"/>
  <c r="Q239" i="1" s="1"/>
  <c r="M239" i="1"/>
  <c r="K250" i="1"/>
  <c r="P250" i="1" s="1"/>
  <c r="L250" i="1"/>
  <c r="M250" i="1" s="1"/>
  <c r="K259" i="1"/>
  <c r="P259" i="1" s="1"/>
  <c r="K266" i="1"/>
  <c r="L270" i="1"/>
  <c r="L275" i="1"/>
  <c r="M275" i="1" s="1"/>
  <c r="L284" i="1"/>
  <c r="M284" i="1" s="1"/>
  <c r="L291" i="1"/>
  <c r="M291" i="1"/>
  <c r="K291" i="1"/>
  <c r="L300" i="1"/>
  <c r="K309" i="1"/>
  <c r="P309" i="1" s="1"/>
  <c r="Q309" i="1" s="1"/>
  <c r="K316" i="1"/>
  <c r="K320" i="1"/>
  <c r="Q323" i="1"/>
  <c r="L325" i="1"/>
  <c r="M325" i="1" s="1"/>
  <c r="K327" i="1"/>
  <c r="P327" i="1" s="1"/>
  <c r="Q327" i="1" s="1"/>
  <c r="M332" i="1"/>
  <c r="M334" i="1"/>
  <c r="Q359" i="1"/>
  <c r="N359" i="1"/>
  <c r="L361" i="1"/>
  <c r="M361" i="1" s="1"/>
  <c r="Q371" i="1"/>
  <c r="N371" i="1"/>
  <c r="L371" i="1"/>
  <c r="L376" i="1"/>
  <c r="M376" i="1" s="1"/>
  <c r="K381" i="1"/>
  <c r="M386" i="1"/>
  <c r="N420" i="1"/>
  <c r="N423" i="1"/>
  <c r="N427" i="1"/>
  <c r="L427" i="1"/>
  <c r="M427" i="1" s="1"/>
  <c r="K430" i="1"/>
  <c r="L430" i="1"/>
  <c r="M430" i="1" s="1"/>
  <c r="M434" i="1"/>
  <c r="K434" i="1"/>
  <c r="P434" i="1" s="1"/>
  <c r="Q434" i="1" s="1"/>
  <c r="Q443" i="1"/>
  <c r="K446" i="1"/>
  <c r="P446" i="1" s="1"/>
  <c r="Q446" i="1" s="1"/>
  <c r="N459" i="1"/>
  <c r="L475" i="1"/>
  <c r="M475" i="1" s="1"/>
  <c r="Q475" i="1"/>
  <c r="K475" i="1"/>
  <c r="P475" i="1" s="1"/>
  <c r="P494" i="1"/>
  <c r="Q494" i="1" s="1"/>
  <c r="N494" i="1"/>
  <c r="M476" i="1"/>
  <c r="L476" i="1"/>
  <c r="K476" i="1"/>
  <c r="P476" i="1" s="1"/>
  <c r="Q476" i="1" s="1"/>
  <c r="P580" i="1"/>
  <c r="Q580" i="1" s="1"/>
  <c r="N580" i="1"/>
  <c r="P586" i="1"/>
  <c r="Q586" i="1" s="1"/>
  <c r="N586" i="1"/>
  <c r="P630" i="1"/>
  <c r="Q630" i="1" s="1"/>
  <c r="N630" i="1"/>
  <c r="M187" i="1"/>
  <c r="Q187" i="1"/>
  <c r="Q194" i="1"/>
  <c r="L196" i="1"/>
  <c r="M196" i="1" s="1"/>
  <c r="N200" i="1"/>
  <c r="M207" i="1"/>
  <c r="K228" i="1"/>
  <c r="P228" i="1" s="1"/>
  <c r="Q228" i="1" s="1"/>
  <c r="N228" i="1"/>
  <c r="M228" i="1"/>
  <c r="N232" i="1"/>
  <c r="N234" i="1"/>
  <c r="L237" i="1"/>
  <c r="M237" i="1" s="1"/>
  <c r="N237" i="1"/>
  <c r="L248" i="1"/>
  <c r="M248" i="1" s="1"/>
  <c r="Q248" i="1"/>
  <c r="Q250" i="1"/>
  <c r="L255" i="1"/>
  <c r="Q255" i="1"/>
  <c r="N259" i="1"/>
  <c r="M266" i="1"/>
  <c r="L273" i="1"/>
  <c r="M273" i="1" s="1"/>
  <c r="N275" i="1"/>
  <c r="L280" i="1"/>
  <c r="M280" i="1" s="1"/>
  <c r="K280" i="1"/>
  <c r="P280" i="1" s="1"/>
  <c r="K287" i="1"/>
  <c r="P287" i="1" s="1"/>
  <c r="Q287" i="1" s="1"/>
  <c r="M287" i="1"/>
  <c r="K298" i="1"/>
  <c r="P298" i="1" s="1"/>
  <c r="Q298" i="1" s="1"/>
  <c r="L298" i="1"/>
  <c r="M298" i="1" s="1"/>
  <c r="N298" i="1"/>
  <c r="L312" i="1"/>
  <c r="M312" i="1" s="1"/>
  <c r="M316" i="1"/>
  <c r="L318" i="1"/>
  <c r="M318" i="1" s="1"/>
  <c r="L323" i="1"/>
  <c r="M323" i="1" s="1"/>
  <c r="L332" i="1"/>
  <c r="L339" i="1"/>
  <c r="M339" i="1" s="1"/>
  <c r="K339" i="1"/>
  <c r="N354" i="1"/>
  <c r="N357" i="1"/>
  <c r="Q357" i="1"/>
  <c r="L359" i="1"/>
  <c r="M359" i="1" s="1"/>
  <c r="Q361" i="1"/>
  <c r="M371" i="1"/>
  <c r="K374" i="1"/>
  <c r="P374" i="1" s="1"/>
  <c r="Q374" i="1" s="1"/>
  <c r="N374" i="1"/>
  <c r="M374" i="1"/>
  <c r="N384" i="1"/>
  <c r="L384" i="1"/>
  <c r="M390" i="1"/>
  <c r="K390" i="1"/>
  <c r="P390" i="1" s="1"/>
  <c r="Q390" i="1" s="1"/>
  <c r="K405" i="1"/>
  <c r="P405" i="1" s="1"/>
  <c r="Q405" i="1" s="1"/>
  <c r="N421" i="1"/>
  <c r="L421" i="1"/>
  <c r="M421" i="1"/>
  <c r="N434" i="1"/>
  <c r="N480" i="1"/>
  <c r="Q480" i="1"/>
  <c r="L480" i="1"/>
  <c r="M480" i="1" s="1"/>
  <c r="M369" i="1"/>
  <c r="N369" i="1"/>
  <c r="L405" i="1"/>
  <c r="M405" i="1" s="1"/>
  <c r="Q19" i="1"/>
  <c r="Q43" i="1"/>
  <c r="L68" i="1"/>
  <c r="M68" i="1" s="1"/>
  <c r="K68" i="1"/>
  <c r="P68" i="1" s="1"/>
  <c r="Q68" i="1" s="1"/>
  <c r="Q76" i="1"/>
  <c r="L99" i="1"/>
  <c r="M99" i="1" s="1"/>
  <c r="K99" i="1"/>
  <c r="Q126" i="1"/>
  <c r="Q131" i="1"/>
  <c r="M140" i="1"/>
  <c r="N181" i="1"/>
  <c r="L187" i="1"/>
  <c r="L194" i="1"/>
  <c r="M194" i="1" s="1"/>
  <c r="Q232" i="1"/>
  <c r="M235" i="1"/>
  <c r="Q235" i="1"/>
  <c r="Q242" i="1"/>
  <c r="L244" i="1"/>
  <c r="M244" i="1" s="1"/>
  <c r="N248" i="1"/>
  <c r="M255" i="1"/>
  <c r="N273" i="1"/>
  <c r="K276" i="1"/>
  <c r="P276" i="1" s="1"/>
  <c r="Q276" i="1" s="1"/>
  <c r="N276" i="1"/>
  <c r="M276" i="1"/>
  <c r="N280" i="1"/>
  <c r="L285" i="1"/>
  <c r="M285" i="1" s="1"/>
  <c r="N285" i="1"/>
  <c r="M296" i="1"/>
  <c r="L296" i="1"/>
  <c r="Q296" i="1"/>
  <c r="K301" i="1"/>
  <c r="P301" i="1" s="1"/>
  <c r="Q301" i="1" s="1"/>
  <c r="L303" i="1"/>
  <c r="M303" i="1" s="1"/>
  <c r="Q303" i="1"/>
  <c r="L310" i="1"/>
  <c r="M310" i="1" s="1"/>
  <c r="N312" i="1"/>
  <c r="L321" i="1"/>
  <c r="M321" i="1" s="1"/>
  <c r="N323" i="1"/>
  <c r="L328" i="1"/>
  <c r="M328" i="1" s="1"/>
  <c r="K328" i="1"/>
  <c r="P328" i="1" s="1"/>
  <c r="Q328" i="1" s="1"/>
  <c r="K335" i="1"/>
  <c r="P335" i="1" s="1"/>
  <c r="Q335" i="1" s="1"/>
  <c r="M335" i="1"/>
  <c r="K346" i="1"/>
  <c r="P346" i="1" s="1"/>
  <c r="Q346" i="1" s="1"/>
  <c r="L346" i="1"/>
  <c r="M346" i="1" s="1"/>
  <c r="N346" i="1"/>
  <c r="L357" i="1"/>
  <c r="M357" i="1" s="1"/>
  <c r="K369" i="1"/>
  <c r="P369" i="1" s="1"/>
  <c r="M384" i="1"/>
  <c r="P387" i="1"/>
  <c r="Q387" i="1" s="1"/>
  <c r="N387" i="1"/>
  <c r="Q391" i="1"/>
  <c r="N399" i="1"/>
  <c r="N411" i="1"/>
  <c r="Q421" i="1"/>
  <c r="L369" i="1"/>
  <c r="P582" i="1"/>
  <c r="Q582" i="1" s="1"/>
  <c r="N582" i="1"/>
  <c r="P618" i="1"/>
  <c r="Q618" i="1" s="1"/>
  <c r="N618" i="1"/>
  <c r="P654" i="1"/>
  <c r="Q654" i="1" s="1"/>
  <c r="N654" i="1"/>
  <c r="L267" i="1"/>
  <c r="M267" i="1"/>
  <c r="K267" i="1"/>
  <c r="P267" i="1" s="1"/>
  <c r="Q267" i="1" s="1"/>
  <c r="M294" i="1"/>
  <c r="L301" i="1"/>
  <c r="M301" i="1" s="1"/>
  <c r="M308" i="1"/>
  <c r="L351" i="1"/>
  <c r="M351" i="1"/>
  <c r="M367" i="1"/>
  <c r="K394" i="1"/>
  <c r="P394" i="1" s="1"/>
  <c r="Q394" i="1" s="1"/>
  <c r="L394" i="1"/>
  <c r="M394" i="1" s="1"/>
  <c r="N394" i="1"/>
  <c r="K406" i="1"/>
  <c r="P406" i="1" s="1"/>
  <c r="Q406" i="1" s="1"/>
  <c r="L406" i="1"/>
  <c r="Q419" i="1"/>
  <c r="M6" i="1"/>
  <c r="L19" i="1"/>
  <c r="M19" i="1" s="1"/>
  <c r="M30" i="1"/>
  <c r="L43" i="1"/>
  <c r="M43" i="1" s="1"/>
  <c r="K66" i="1"/>
  <c r="P66" i="1" s="1"/>
  <c r="Q66" i="1" s="1"/>
  <c r="M66" i="1"/>
  <c r="N68" i="1"/>
  <c r="L76" i="1"/>
  <c r="M76" i="1" s="1"/>
  <c r="N81" i="1"/>
  <c r="Q81" i="1"/>
  <c r="L83" i="1"/>
  <c r="M83" i="1" s="1"/>
  <c r="N83" i="1"/>
  <c r="K97" i="1"/>
  <c r="P97" i="1" s="1"/>
  <c r="Q97" i="1" s="1"/>
  <c r="M97" i="1"/>
  <c r="K106" i="1"/>
  <c r="P106" i="1" s="1"/>
  <c r="Q106" i="1" s="1"/>
  <c r="L106" i="1"/>
  <c r="M106" i="1" s="1"/>
  <c r="N106" i="1"/>
  <c r="L126" i="1"/>
  <c r="M126" i="1" s="1"/>
  <c r="L131" i="1"/>
  <c r="M131" i="1" s="1"/>
  <c r="L140" i="1"/>
  <c r="L147" i="1"/>
  <c r="M147" i="1" s="1"/>
  <c r="K147" i="1"/>
  <c r="M174" i="1"/>
  <c r="Q174" i="1"/>
  <c r="Q179" i="1"/>
  <c r="L181" i="1"/>
  <c r="M181" i="1" s="1"/>
  <c r="M188" i="1"/>
  <c r="M190" i="1"/>
  <c r="N194" i="1"/>
  <c r="N229" i="1"/>
  <c r="L235" i="1"/>
  <c r="L242" i="1"/>
  <c r="M242" i="1" s="1"/>
  <c r="Q280" i="1"/>
  <c r="M283" i="1"/>
  <c r="Q283" i="1"/>
  <c r="Q290" i="1"/>
  <c r="K294" i="1"/>
  <c r="N296" i="1"/>
  <c r="K299" i="1"/>
  <c r="P305" i="1"/>
  <c r="Q305" i="1" s="1"/>
  <c r="K308" i="1"/>
  <c r="N310" i="1"/>
  <c r="K324" i="1"/>
  <c r="P324" i="1" s="1"/>
  <c r="Q324" i="1" s="1"/>
  <c r="M324" i="1"/>
  <c r="N328" i="1"/>
  <c r="N330" i="1"/>
  <c r="L333" i="1"/>
  <c r="M333" i="1" s="1"/>
  <c r="N333" i="1"/>
  <c r="M344" i="1"/>
  <c r="L344" i="1"/>
  <c r="Q344" i="1"/>
  <c r="K349" i="1"/>
  <c r="P349" i="1" s="1"/>
  <c r="Q349" i="1" s="1"/>
  <c r="K351" i="1"/>
  <c r="K367" i="1"/>
  <c r="Q369" i="1"/>
  <c r="K382" i="1"/>
  <c r="L382" i="1"/>
  <c r="M382" i="1" s="1"/>
  <c r="N388" i="1"/>
  <c r="L388" i="1"/>
  <c r="M388" i="1" s="1"/>
  <c r="L391" i="1"/>
  <c r="M391" i="1" s="1"/>
  <c r="N402" i="1"/>
  <c r="M406" i="1"/>
  <c r="P441" i="1"/>
  <c r="N441" i="1"/>
  <c r="N360" i="1"/>
  <c r="M362" i="1"/>
  <c r="N385" i="1"/>
  <c r="Q395" i="1"/>
  <c r="N395" i="1"/>
  <c r="K395" i="1"/>
  <c r="P395" i="1" s="1"/>
  <c r="L433" i="1"/>
  <c r="M433" i="1" s="1"/>
  <c r="K433" i="1"/>
  <c r="P433" i="1" s="1"/>
  <c r="Q433" i="1" s="1"/>
  <c r="N451" i="1"/>
  <c r="M451" i="1"/>
  <c r="L453" i="1"/>
  <c r="M453" i="1" s="1"/>
  <c r="K453" i="1"/>
  <c r="M463" i="1"/>
  <c r="P468" i="1"/>
  <c r="Q468" i="1" s="1"/>
  <c r="N468" i="1"/>
  <c r="P493" i="1"/>
  <c r="Q493" i="1" s="1"/>
  <c r="N493" i="1"/>
  <c r="M500" i="1"/>
  <c r="L500" i="1"/>
  <c r="K500" i="1"/>
  <c r="P500" i="1" s="1"/>
  <c r="Q500" i="1" s="1"/>
  <c r="P525" i="1"/>
  <c r="Q525" i="1" s="1"/>
  <c r="N525" i="1"/>
  <c r="Q659" i="1"/>
  <c r="N673" i="1"/>
  <c r="M356" i="1"/>
  <c r="Q356" i="1"/>
  <c r="K360" i="1"/>
  <c r="P360" i="1" s="1"/>
  <c r="Q360" i="1" s="1"/>
  <c r="K362" i="1"/>
  <c r="K364" i="1"/>
  <c r="M368" i="1"/>
  <c r="L370" i="1"/>
  <c r="M370" i="1" s="1"/>
  <c r="Q383" i="1"/>
  <c r="K385" i="1"/>
  <c r="P385" i="1" s="1"/>
  <c r="Q385" i="1" s="1"/>
  <c r="L395" i="1"/>
  <c r="M395" i="1" s="1"/>
  <c r="M402" i="1"/>
  <c r="Q402" i="1"/>
  <c r="K412" i="1"/>
  <c r="L412" i="1"/>
  <c r="M412" i="1" s="1"/>
  <c r="K415" i="1"/>
  <c r="P415" i="1" s="1"/>
  <c r="Q415" i="1" s="1"/>
  <c r="K418" i="1"/>
  <c r="L418" i="1"/>
  <c r="M418" i="1" s="1"/>
  <c r="K442" i="1"/>
  <c r="L442" i="1"/>
  <c r="M442" i="1" s="1"/>
  <c r="K451" i="1"/>
  <c r="P451" i="1" s="1"/>
  <c r="Q451" i="1" s="1"/>
  <c r="P456" i="1"/>
  <c r="Q456" i="1" s="1"/>
  <c r="N456" i="1"/>
  <c r="K463" i="1"/>
  <c r="P463" i="1" s="1"/>
  <c r="Q463" i="1" s="1"/>
  <c r="L501" i="1"/>
  <c r="M501" i="1" s="1"/>
  <c r="K501" i="1"/>
  <c r="P501" i="1" s="1"/>
  <c r="Q501" i="1" s="1"/>
  <c r="N551" i="1"/>
  <c r="Q564" i="1"/>
  <c r="P584" i="1"/>
  <c r="Q584" i="1" s="1"/>
  <c r="N584" i="1"/>
  <c r="P606" i="1"/>
  <c r="Q606" i="1" s="1"/>
  <c r="N606" i="1"/>
  <c r="Q620" i="1"/>
  <c r="P642" i="1"/>
  <c r="Q642" i="1" s="1"/>
  <c r="N642" i="1"/>
  <c r="Q656" i="1"/>
  <c r="M660" i="1"/>
  <c r="P674" i="1"/>
  <c r="Q674" i="1" s="1"/>
  <c r="N674" i="1"/>
  <c r="P566" i="1"/>
  <c r="Q566" i="1" s="1"/>
  <c r="N566" i="1"/>
  <c r="Q647" i="1"/>
  <c r="P513" i="1"/>
  <c r="Q513" i="1" s="1"/>
  <c r="N513" i="1"/>
  <c r="Q519" i="1"/>
  <c r="P548" i="1"/>
  <c r="Q548" i="1" s="1"/>
  <c r="N548" i="1"/>
  <c r="Q616" i="1"/>
  <c r="Q652" i="1"/>
  <c r="M438" i="1"/>
  <c r="L438" i="1"/>
  <c r="Q438" i="1"/>
  <c r="Q467" i="1"/>
  <c r="Q491" i="1"/>
  <c r="N121" i="1"/>
  <c r="N145" i="1"/>
  <c r="N169" i="1"/>
  <c r="N193" i="1"/>
  <c r="N217" i="1"/>
  <c r="N241" i="1"/>
  <c r="N265" i="1"/>
  <c r="N289" i="1"/>
  <c r="N313" i="1"/>
  <c r="N337" i="1"/>
  <c r="N378" i="1"/>
  <c r="M380" i="1"/>
  <c r="Q380" i="1"/>
  <c r="N380" i="1"/>
  <c r="L387" i="1"/>
  <c r="M387" i="1" s="1"/>
  <c r="L397" i="1"/>
  <c r="M397" i="1" s="1"/>
  <c r="K397" i="1"/>
  <c r="P397" i="1" s="1"/>
  <c r="Q397" i="1" s="1"/>
  <c r="M404" i="1"/>
  <c r="K404" i="1"/>
  <c r="P404" i="1" s="1"/>
  <c r="Q404" i="1" s="1"/>
  <c r="N409" i="1"/>
  <c r="L409" i="1"/>
  <c r="M409" i="1" s="1"/>
  <c r="M414" i="1"/>
  <c r="Q414" i="1"/>
  <c r="N414" i="1"/>
  <c r="K414" i="1"/>
  <c r="P414" i="1" s="1"/>
  <c r="N438" i="1"/>
  <c r="N450" i="1"/>
  <c r="L450" i="1"/>
  <c r="M450" i="1" s="1"/>
  <c r="Q450" i="1"/>
  <c r="N462" i="1"/>
  <c r="M462" i="1"/>
  <c r="L462" i="1"/>
  <c r="Q462" i="1"/>
  <c r="N492" i="1"/>
  <c r="M426" i="1"/>
  <c r="L426" i="1"/>
  <c r="Q426" i="1"/>
  <c r="Q431" i="1"/>
  <c r="K436" i="1"/>
  <c r="P436" i="1" s="1"/>
  <c r="Q436" i="1" s="1"/>
  <c r="N439" i="1"/>
  <c r="Q441" i="1"/>
  <c r="L441" i="1"/>
  <c r="Q473" i="1"/>
  <c r="P505" i="1"/>
  <c r="Q505" i="1" s="1"/>
  <c r="N505" i="1"/>
  <c r="P540" i="1"/>
  <c r="Q540" i="1" s="1"/>
  <c r="N540" i="1"/>
  <c r="Q568" i="1"/>
  <c r="Q635" i="1"/>
  <c r="N653" i="1"/>
  <c r="M375" i="1"/>
  <c r="Q393" i="1"/>
  <c r="M422" i="1"/>
  <c r="N426" i="1"/>
  <c r="M436" i="1"/>
  <c r="L439" i="1"/>
  <c r="M439" i="1" s="1"/>
  <c r="M441" i="1"/>
  <c r="P487" i="1"/>
  <c r="Q487" i="1" s="1"/>
  <c r="N487" i="1"/>
  <c r="Q604" i="1"/>
  <c r="Q640" i="1"/>
  <c r="Q672" i="1"/>
  <c r="K492" i="1"/>
  <c r="P492" i="1" s="1"/>
  <c r="Q492" i="1" s="1"/>
  <c r="K504" i="1"/>
  <c r="P504" i="1" s="1"/>
  <c r="Q504" i="1" s="1"/>
  <c r="K516" i="1"/>
  <c r="P516" i="1" s="1"/>
  <c r="Q516" i="1" s="1"/>
  <c r="K539" i="1"/>
  <c r="P539" i="1" s="1"/>
  <c r="Q539" i="1" s="1"/>
  <c r="K551" i="1"/>
  <c r="P551" i="1" s="1"/>
  <c r="Q551" i="1" s="1"/>
  <c r="K565" i="1"/>
  <c r="P565" i="1" s="1"/>
  <c r="Q565" i="1" s="1"/>
  <c r="K579" i="1"/>
  <c r="P579" i="1" s="1"/>
  <c r="Q579" i="1" s="1"/>
  <c r="K605" i="1"/>
  <c r="P605" i="1" s="1"/>
  <c r="Q605" i="1" s="1"/>
  <c r="K617" i="1"/>
  <c r="P617" i="1" s="1"/>
  <c r="Q617" i="1" s="1"/>
  <c r="K629" i="1"/>
  <c r="P629" i="1" s="1"/>
  <c r="Q629" i="1" s="1"/>
  <c r="K641" i="1"/>
  <c r="P641" i="1" s="1"/>
  <c r="Q641" i="1" s="1"/>
  <c r="K653" i="1"/>
  <c r="P653" i="1" s="1"/>
  <c r="Q653" i="1" s="1"/>
  <c r="K673" i="1"/>
  <c r="P673" i="1" s="1"/>
  <c r="Q673" i="1" s="1"/>
  <c r="N490" i="1"/>
  <c r="L492" i="1"/>
  <c r="M492" i="1" s="1"/>
  <c r="K499" i="1"/>
  <c r="N502" i="1"/>
  <c r="L504" i="1"/>
  <c r="M509" i="1"/>
  <c r="K511" i="1"/>
  <c r="N514" i="1"/>
  <c r="L516" i="1"/>
  <c r="M516" i="1" s="1"/>
  <c r="M521" i="1"/>
  <c r="K523" i="1"/>
  <c r="N526" i="1"/>
  <c r="L539" i="1"/>
  <c r="M544" i="1"/>
  <c r="K546" i="1"/>
  <c r="N549" i="1"/>
  <c r="L551" i="1"/>
  <c r="M558" i="1"/>
  <c r="K560" i="1"/>
  <c r="N563" i="1"/>
  <c r="L565" i="1"/>
  <c r="M570" i="1"/>
  <c r="K572" i="1"/>
  <c r="K574" i="1"/>
  <c r="N577" i="1"/>
  <c r="L579" i="1"/>
  <c r="M579" i="1" s="1"/>
  <c r="M598" i="1"/>
  <c r="K600" i="1"/>
  <c r="N603" i="1"/>
  <c r="L605" i="1"/>
  <c r="M605" i="1" s="1"/>
  <c r="M610" i="1"/>
  <c r="K612" i="1"/>
  <c r="N615" i="1"/>
  <c r="L617" i="1"/>
  <c r="M622" i="1"/>
  <c r="K624" i="1"/>
  <c r="N627" i="1"/>
  <c r="L629" i="1"/>
  <c r="M629" i="1" s="1"/>
  <c r="M634" i="1"/>
  <c r="K636" i="1"/>
  <c r="N639" i="1"/>
  <c r="L641" i="1"/>
  <c r="M646" i="1"/>
  <c r="K648" i="1"/>
  <c r="N651" i="1"/>
  <c r="L653" i="1"/>
  <c r="M653" i="1" s="1"/>
  <c r="M658" i="1"/>
  <c r="K660" i="1"/>
  <c r="N660" i="1" s="1"/>
  <c r="M662" i="1"/>
  <c r="M666" i="1"/>
  <c r="K668" i="1"/>
  <c r="N671" i="1"/>
  <c r="L673" i="1"/>
  <c r="M673" i="1" s="1"/>
  <c r="M678" i="1"/>
  <c r="K680" i="1"/>
  <c r="M504" i="1"/>
  <c r="K506" i="1"/>
  <c r="L511" i="1"/>
  <c r="M511" i="1" s="1"/>
  <c r="K518" i="1"/>
  <c r="L523" i="1"/>
  <c r="M539" i="1"/>
  <c r="K541" i="1"/>
  <c r="L546" i="1"/>
  <c r="M551" i="1"/>
  <c r="K553" i="1"/>
  <c r="K555" i="1"/>
  <c r="L560" i="1"/>
  <c r="M560" i="1" s="1"/>
  <c r="M565" i="1"/>
  <c r="K567" i="1"/>
  <c r="L572" i="1"/>
  <c r="L574" i="1"/>
  <c r="M574" i="1" s="1"/>
  <c r="K581" i="1"/>
  <c r="N581" i="1" s="1"/>
  <c r="K583" i="1"/>
  <c r="N583" i="1" s="1"/>
  <c r="K585" i="1"/>
  <c r="N585" i="1" s="1"/>
  <c r="K587" i="1"/>
  <c r="K589" i="1"/>
  <c r="K591" i="1"/>
  <c r="K593" i="1"/>
  <c r="K595" i="1"/>
  <c r="L600" i="1"/>
  <c r="K607" i="1"/>
  <c r="L612" i="1"/>
  <c r="M612" i="1" s="1"/>
  <c r="M617" i="1"/>
  <c r="K619" i="1"/>
  <c r="L624" i="1"/>
  <c r="K631" i="1"/>
  <c r="L636" i="1"/>
  <c r="M641" i="1"/>
  <c r="K643" i="1"/>
  <c r="L648" i="1"/>
  <c r="K655" i="1"/>
  <c r="L660" i="1"/>
  <c r="L668" i="1"/>
  <c r="M668" i="1" s="1"/>
  <c r="K675" i="1"/>
  <c r="L680" i="1"/>
  <c r="M487" i="1"/>
  <c r="Q490" i="1"/>
  <c r="M499" i="1"/>
  <c r="Q502" i="1"/>
  <c r="L506" i="1"/>
  <c r="M506" i="1" s="1"/>
  <c r="Q514" i="1"/>
  <c r="L518" i="1"/>
  <c r="M518" i="1" s="1"/>
  <c r="M523" i="1"/>
  <c r="Q526" i="1"/>
  <c r="L541" i="1"/>
  <c r="M541" i="1" s="1"/>
  <c r="M546" i="1"/>
  <c r="Q549" i="1"/>
  <c r="L553" i="1"/>
  <c r="M553" i="1" s="1"/>
  <c r="L555" i="1"/>
  <c r="M555" i="1" s="1"/>
  <c r="Q563" i="1"/>
  <c r="L567" i="1"/>
  <c r="M567" i="1" s="1"/>
  <c r="M572" i="1"/>
  <c r="Q577" i="1"/>
  <c r="L587" i="1"/>
  <c r="M587" i="1" s="1"/>
  <c r="L589" i="1"/>
  <c r="M589" i="1" s="1"/>
  <c r="L591" i="1"/>
  <c r="M591" i="1" s="1"/>
  <c r="L593" i="1"/>
  <c r="M593" i="1" s="1"/>
  <c r="L595" i="1"/>
  <c r="M595" i="1" s="1"/>
  <c r="M600" i="1"/>
  <c r="Q603" i="1"/>
  <c r="L607" i="1"/>
  <c r="M607" i="1" s="1"/>
  <c r="Q615" i="1"/>
  <c r="L619" i="1"/>
  <c r="M619" i="1" s="1"/>
  <c r="M624" i="1"/>
  <c r="Q627" i="1"/>
  <c r="L631" i="1"/>
  <c r="M631" i="1" s="1"/>
  <c r="M636" i="1"/>
  <c r="Q639" i="1"/>
  <c r="L643" i="1"/>
  <c r="M643" i="1" s="1"/>
  <c r="M648" i="1"/>
  <c r="Q651" i="1"/>
  <c r="L655" i="1"/>
  <c r="M655" i="1" s="1"/>
  <c r="Q671" i="1"/>
  <c r="L675" i="1"/>
  <c r="M675" i="1" s="1"/>
  <c r="M680" i="1"/>
  <c r="K486" i="1"/>
  <c r="P486" i="1" s="1"/>
  <c r="Q486" i="1" s="1"/>
  <c r="L491" i="1"/>
  <c r="M491" i="1" s="1"/>
  <c r="K498" i="1"/>
  <c r="P498" i="1" s="1"/>
  <c r="Q498" i="1" s="1"/>
  <c r="L503" i="1"/>
  <c r="K510" i="1"/>
  <c r="P510" i="1" s="1"/>
  <c r="Q510" i="1" s="1"/>
  <c r="L515" i="1"/>
  <c r="M515" i="1" s="1"/>
  <c r="K522" i="1"/>
  <c r="P522" i="1" s="1"/>
  <c r="Q522" i="1" s="1"/>
  <c r="L538" i="1"/>
  <c r="M538" i="1" s="1"/>
  <c r="K545" i="1"/>
  <c r="P545" i="1" s="1"/>
  <c r="L550" i="1"/>
  <c r="K559" i="1"/>
  <c r="P559" i="1" s="1"/>
  <c r="L564" i="1"/>
  <c r="M564" i="1" s="1"/>
  <c r="K571" i="1"/>
  <c r="P571" i="1" s="1"/>
  <c r="Q571" i="1" s="1"/>
  <c r="L578" i="1"/>
  <c r="K599" i="1"/>
  <c r="P599" i="1" s="1"/>
  <c r="Q599" i="1" s="1"/>
  <c r="L604" i="1"/>
  <c r="K611" i="1"/>
  <c r="P611" i="1" s="1"/>
  <c r="Q611" i="1" s="1"/>
  <c r="L616" i="1"/>
  <c r="M616" i="1" s="1"/>
  <c r="K623" i="1"/>
  <c r="P623" i="1" s="1"/>
  <c r="Q623" i="1" s="1"/>
  <c r="L628" i="1"/>
  <c r="M628" i="1" s="1"/>
  <c r="K635" i="1"/>
  <c r="P635" i="1" s="1"/>
  <c r="L640" i="1"/>
  <c r="K647" i="1"/>
  <c r="P647" i="1" s="1"/>
  <c r="L652" i="1"/>
  <c r="M652" i="1" s="1"/>
  <c r="K659" i="1"/>
  <c r="P659" i="1" s="1"/>
  <c r="K661" i="1"/>
  <c r="N661" i="1" s="1"/>
  <c r="K667" i="1"/>
  <c r="P667" i="1" s="1"/>
  <c r="Q667" i="1" s="1"/>
  <c r="L672" i="1"/>
  <c r="K679" i="1"/>
  <c r="P679" i="1" s="1"/>
  <c r="Q679" i="1" s="1"/>
  <c r="M503" i="1"/>
  <c r="L510" i="1"/>
  <c r="L522" i="1"/>
  <c r="L545" i="1"/>
  <c r="M550" i="1"/>
  <c r="L559" i="1"/>
  <c r="L571" i="1"/>
  <c r="M578" i="1"/>
  <c r="L599" i="1"/>
  <c r="M604" i="1"/>
  <c r="L611" i="1"/>
  <c r="L623" i="1"/>
  <c r="L635" i="1"/>
  <c r="M640" i="1"/>
  <c r="L647" i="1"/>
  <c r="L659" i="1"/>
  <c r="L661" i="1"/>
  <c r="L667" i="1"/>
  <c r="M672" i="1"/>
  <c r="L679" i="1"/>
  <c r="M431" i="1"/>
  <c r="M443" i="1"/>
  <c r="N448" i="1"/>
  <c r="M455" i="1"/>
  <c r="N460" i="1"/>
  <c r="M467" i="1"/>
  <c r="N473" i="1"/>
  <c r="M486" i="1"/>
  <c r="N491" i="1"/>
  <c r="M498" i="1"/>
  <c r="N503" i="1"/>
  <c r="M510" i="1"/>
  <c r="N515" i="1"/>
  <c r="M522" i="1"/>
  <c r="N538" i="1"/>
  <c r="M545" i="1"/>
  <c r="N550" i="1"/>
  <c r="M559" i="1"/>
  <c r="N564" i="1"/>
  <c r="M571" i="1"/>
  <c r="N578" i="1"/>
  <c r="M599" i="1"/>
  <c r="N604" i="1"/>
  <c r="M611" i="1"/>
  <c r="N616" i="1"/>
  <c r="M623" i="1"/>
  <c r="N628" i="1"/>
  <c r="M635" i="1"/>
  <c r="N640" i="1"/>
  <c r="M647" i="1"/>
  <c r="N652" i="1"/>
  <c r="M659" i="1"/>
  <c r="M661" i="1"/>
  <c r="M667" i="1"/>
  <c r="N672" i="1"/>
  <c r="M679" i="1"/>
  <c r="N419" i="1"/>
  <c r="N431" i="1"/>
  <c r="N443" i="1"/>
  <c r="N455" i="1"/>
  <c r="N467" i="1"/>
  <c r="N486" i="1"/>
  <c r="N510" i="1"/>
  <c r="N545" i="1"/>
  <c r="N559" i="1"/>
  <c r="N571" i="1"/>
  <c r="N635" i="1"/>
  <c r="N647" i="1"/>
  <c r="N659" i="1"/>
  <c r="N679" i="1"/>
  <c r="N599" i="1" l="1"/>
  <c r="P567" i="1"/>
  <c r="Q567" i="1" s="1"/>
  <c r="N567" i="1"/>
  <c r="N579" i="1"/>
  <c r="P412" i="1"/>
  <c r="Q412" i="1" s="1"/>
  <c r="N412" i="1"/>
  <c r="N463" i="1"/>
  <c r="N250" i="1"/>
  <c r="N392" i="1"/>
  <c r="P345" i="1"/>
  <c r="Q345" i="1" s="1"/>
  <c r="N345" i="1"/>
  <c r="N348" i="1"/>
  <c r="P208" i="1"/>
  <c r="Q208" i="1" s="1"/>
  <c r="N208" i="1"/>
  <c r="N183" i="1"/>
  <c r="N9" i="1"/>
  <c r="P643" i="1"/>
  <c r="Q643" i="1" s="1"/>
  <c r="N643" i="1"/>
  <c r="P595" i="1"/>
  <c r="Q595" i="1" s="1"/>
  <c r="N595" i="1"/>
  <c r="P506" i="1"/>
  <c r="Q506" i="1" s="1"/>
  <c r="N506" i="1"/>
  <c r="P453" i="1"/>
  <c r="Q453" i="1" s="1"/>
  <c r="N453" i="1"/>
  <c r="P299" i="1"/>
  <c r="Q299" i="1" s="1"/>
  <c r="N299" i="1"/>
  <c r="P316" i="1"/>
  <c r="Q316" i="1" s="1"/>
  <c r="N316" i="1"/>
  <c r="N300" i="1"/>
  <c r="N482" i="1"/>
  <c r="P256" i="1"/>
  <c r="Q256" i="1" s="1"/>
  <c r="N256" i="1"/>
  <c r="P166" i="1"/>
  <c r="Q166" i="1" s="1"/>
  <c r="N166" i="1"/>
  <c r="P176" i="1"/>
  <c r="Q176" i="1" s="1"/>
  <c r="N176" i="1"/>
  <c r="P268" i="1"/>
  <c r="Q268" i="1" s="1"/>
  <c r="N268" i="1"/>
  <c r="P593" i="1"/>
  <c r="Q593" i="1" s="1"/>
  <c r="N593" i="1"/>
  <c r="P648" i="1"/>
  <c r="Q648" i="1" s="1"/>
  <c r="N648" i="1"/>
  <c r="P612" i="1"/>
  <c r="Q612" i="1" s="1"/>
  <c r="N612" i="1"/>
  <c r="N165" i="1"/>
  <c r="P591" i="1"/>
  <c r="Q591" i="1" s="1"/>
  <c r="N591" i="1"/>
  <c r="P555" i="1"/>
  <c r="Q555" i="1" s="1"/>
  <c r="N555" i="1"/>
  <c r="P680" i="1"/>
  <c r="Q680" i="1" s="1"/>
  <c r="N680" i="1"/>
  <c r="P560" i="1"/>
  <c r="Q560" i="1" s="1"/>
  <c r="N560" i="1"/>
  <c r="P511" i="1"/>
  <c r="Q511" i="1" s="1"/>
  <c r="N511" i="1"/>
  <c r="P294" i="1"/>
  <c r="Q294" i="1" s="1"/>
  <c r="N294" i="1"/>
  <c r="N66" i="1"/>
  <c r="N301" i="1"/>
  <c r="N390" i="1"/>
  <c r="P430" i="1"/>
  <c r="Q430" i="1" s="1"/>
  <c r="N430" i="1"/>
  <c r="N446" i="1"/>
  <c r="N40" i="1"/>
  <c r="P142" i="1"/>
  <c r="Q142" i="1" s="1"/>
  <c r="N142" i="1"/>
  <c r="N243" i="1"/>
  <c r="N416" i="1"/>
  <c r="N86" i="1"/>
  <c r="P35" i="1"/>
  <c r="Q35" i="1" s="1"/>
  <c r="N35" i="1"/>
  <c r="N135" i="1"/>
  <c r="N226" i="1"/>
  <c r="N264" i="1"/>
  <c r="P41" i="1"/>
  <c r="Q41" i="1" s="1"/>
  <c r="N41" i="1"/>
  <c r="N522" i="1"/>
  <c r="P631" i="1"/>
  <c r="Q631" i="1" s="1"/>
  <c r="N631" i="1"/>
  <c r="P589" i="1"/>
  <c r="Q589" i="1" s="1"/>
  <c r="N589" i="1"/>
  <c r="P553" i="1"/>
  <c r="Q553" i="1" s="1"/>
  <c r="N553" i="1"/>
  <c r="N617" i="1"/>
  <c r="N641" i="1"/>
  <c r="P382" i="1"/>
  <c r="Q382" i="1" s="1"/>
  <c r="N382" i="1"/>
  <c r="N475" i="1"/>
  <c r="P291" i="1"/>
  <c r="Q291" i="1" s="1"/>
  <c r="N291" i="1"/>
  <c r="N239" i="1"/>
  <c r="P284" i="1"/>
  <c r="Q284" i="1" s="1"/>
  <c r="N284" i="1"/>
  <c r="N386" i="1"/>
  <c r="N98" i="1"/>
  <c r="P98" i="1"/>
  <c r="Q98" i="1" s="1"/>
  <c r="N115" i="1"/>
  <c r="N260" i="1"/>
  <c r="N88" i="1"/>
  <c r="N363" i="1"/>
  <c r="P587" i="1"/>
  <c r="Q587" i="1" s="1"/>
  <c r="N587" i="1"/>
  <c r="N500" i="1"/>
  <c r="N470" i="1"/>
  <c r="P124" i="1"/>
  <c r="Q124" i="1" s="1"/>
  <c r="N124" i="1"/>
  <c r="N297" i="1"/>
  <c r="L683" i="1"/>
  <c r="M683" i="1" s="1"/>
  <c r="N64" i="1"/>
  <c r="N667" i="1"/>
  <c r="N498" i="1"/>
  <c r="P675" i="1"/>
  <c r="Q675" i="1" s="1"/>
  <c r="N675" i="1"/>
  <c r="P636" i="1"/>
  <c r="Q636" i="1" s="1"/>
  <c r="N636" i="1"/>
  <c r="P600" i="1"/>
  <c r="Q600" i="1" s="1"/>
  <c r="N600" i="1"/>
  <c r="N404" i="1"/>
  <c r="N516" i="1"/>
  <c r="P442" i="1"/>
  <c r="Q442" i="1" s="1"/>
  <c r="N442" i="1"/>
  <c r="P367" i="1"/>
  <c r="Q367" i="1" s="1"/>
  <c r="N367" i="1"/>
  <c r="N324" i="1"/>
  <c r="N97" i="1"/>
  <c r="P339" i="1"/>
  <c r="Q339" i="1" s="1"/>
  <c r="N339" i="1"/>
  <c r="N476" i="1"/>
  <c r="P270" i="1"/>
  <c r="Q270" i="1" s="1"/>
  <c r="N270" i="1"/>
  <c r="N469" i="1"/>
  <c r="N225" i="1"/>
  <c r="N322" i="1"/>
  <c r="P251" i="1"/>
  <c r="Q251" i="1" s="1"/>
  <c r="N251" i="1"/>
  <c r="N211" i="1"/>
  <c r="N304" i="1"/>
  <c r="N28" i="1"/>
  <c r="N205" i="1"/>
  <c r="N156" i="1"/>
  <c r="N220" i="1"/>
  <c r="P619" i="1"/>
  <c r="Q619" i="1" s="1"/>
  <c r="N619" i="1"/>
  <c r="P541" i="1"/>
  <c r="Q541" i="1" s="1"/>
  <c r="N541" i="1"/>
  <c r="P668" i="1"/>
  <c r="Q668" i="1" s="1"/>
  <c r="N668" i="1"/>
  <c r="P546" i="1"/>
  <c r="Q546" i="1" s="1"/>
  <c r="N546" i="1"/>
  <c r="P499" i="1"/>
  <c r="Q499" i="1" s="1"/>
  <c r="N499" i="1"/>
  <c r="N605" i="1"/>
  <c r="P351" i="1"/>
  <c r="Q351" i="1" s="1"/>
  <c r="N351" i="1"/>
  <c r="N565" i="1"/>
  <c r="N373" i="1"/>
  <c r="N119" i="1"/>
  <c r="N204" i="1"/>
  <c r="N78" i="1"/>
  <c r="N54" i="1"/>
  <c r="N157" i="1"/>
  <c r="N123" i="1"/>
  <c r="N22" i="1"/>
  <c r="N227" i="1"/>
  <c r="N143" i="1"/>
  <c r="N342" i="1"/>
  <c r="N26" i="1"/>
  <c r="P364" i="1"/>
  <c r="Q364" i="1" s="1"/>
  <c r="N364" i="1"/>
  <c r="N361" i="1"/>
  <c r="N17" i="1"/>
  <c r="P17" i="1"/>
  <c r="Q17" i="1" s="1"/>
  <c r="Q683" i="1" s="1"/>
  <c r="P38" i="1"/>
  <c r="Q38" i="1" s="1"/>
  <c r="N38" i="1"/>
  <c r="P112" i="1"/>
  <c r="Q112" i="1" s="1"/>
  <c r="N112" i="1"/>
  <c r="N24" i="1"/>
  <c r="N147" i="1"/>
  <c r="P147" i="1"/>
  <c r="Q147" i="1" s="1"/>
  <c r="N436" i="1"/>
  <c r="N629" i="1"/>
  <c r="P418" i="1"/>
  <c r="Q418" i="1" s="1"/>
  <c r="N418" i="1"/>
  <c r="P362" i="1"/>
  <c r="Q362" i="1" s="1"/>
  <c r="N362" i="1"/>
  <c r="N433" i="1"/>
  <c r="P308" i="1"/>
  <c r="Q308" i="1" s="1"/>
  <c r="N308" i="1"/>
  <c r="N267" i="1"/>
  <c r="N405" i="1"/>
  <c r="N335" i="1"/>
  <c r="N287" i="1"/>
  <c r="P381" i="1"/>
  <c r="Q381" i="1" s="1"/>
  <c r="N381" i="1"/>
  <c r="N325" i="1"/>
  <c r="N252" i="1"/>
  <c r="N315" i="1"/>
  <c r="N198" i="1"/>
  <c r="N117" i="1"/>
  <c r="N155" i="1"/>
  <c r="N623" i="1"/>
  <c r="P655" i="1"/>
  <c r="Q655" i="1" s="1"/>
  <c r="N655" i="1"/>
  <c r="P607" i="1"/>
  <c r="Q607" i="1" s="1"/>
  <c r="N607" i="1"/>
  <c r="P518" i="1"/>
  <c r="Q518" i="1" s="1"/>
  <c r="N518" i="1"/>
  <c r="P624" i="1"/>
  <c r="Q624" i="1" s="1"/>
  <c r="N624" i="1"/>
  <c r="P574" i="1"/>
  <c r="Q574" i="1" s="1"/>
  <c r="N574" i="1"/>
  <c r="N501" i="1"/>
  <c r="N415" i="1"/>
  <c r="N406" i="1"/>
  <c r="N349" i="1"/>
  <c r="N539" i="1"/>
  <c r="N327" i="1"/>
  <c r="P320" i="1"/>
  <c r="Q320" i="1" s="1"/>
  <c r="N320" i="1"/>
  <c r="P266" i="1"/>
  <c r="Q266" i="1" s="1"/>
  <c r="N266" i="1"/>
  <c r="N309" i="1"/>
  <c r="N488" i="1"/>
  <c r="N69" i="1"/>
  <c r="N154" i="1"/>
  <c r="N429" i="1"/>
  <c r="N262" i="1"/>
  <c r="N240" i="1"/>
  <c r="N53" i="1"/>
  <c r="N274" i="1"/>
  <c r="N55" i="1"/>
  <c r="N611" i="1"/>
  <c r="P572" i="1"/>
  <c r="Q572" i="1" s="1"/>
  <c r="N572" i="1"/>
  <c r="P523" i="1"/>
  <c r="Q523" i="1" s="1"/>
  <c r="N523" i="1"/>
  <c r="N397" i="1"/>
  <c r="P99" i="1"/>
  <c r="Q99" i="1" s="1"/>
  <c r="N99" i="1"/>
  <c r="N504" i="1"/>
  <c r="N489" i="1"/>
  <c r="N457" i="1"/>
  <c r="P160" i="1"/>
  <c r="Q160" i="1" s="1"/>
  <c r="N160" i="1"/>
  <c r="K683" i="1"/>
  <c r="N683" i="1" s="1"/>
  <c r="N219" i="1"/>
  <c r="N108" i="1"/>
  <c r="N47" i="1"/>
  <c r="N107" i="1"/>
  <c r="N16" i="1"/>
  <c r="N150" i="1"/>
  <c r="N7" i="1"/>
  <c r="N214" i="1"/>
  <c r="N178" i="1"/>
  <c r="P56" i="1"/>
  <c r="Q56" i="1" s="1"/>
  <c r="N56" i="1"/>
  <c r="N152" i="1"/>
  <c r="N195" i="1"/>
  <c r="P683" i="1" l="1"/>
</calcChain>
</file>

<file path=xl/sharedStrings.xml><?xml version="1.0" encoding="utf-8"?>
<sst xmlns="http://schemas.openxmlformats.org/spreadsheetml/2006/main" count="2078" uniqueCount="1464">
  <si>
    <t>TEMPORARY STAFF PAYROLL FOR MAY, 2026</t>
  </si>
  <si>
    <t>Sr. No.</t>
  </si>
  <si>
    <t>EMPLOYEE ID</t>
  </si>
  <si>
    <t>EMPLOYEE NAME</t>
  </si>
  <si>
    <t>LOCATION</t>
  </si>
  <si>
    <t xml:space="preserve"> </t>
  </si>
  <si>
    <t>END DATE</t>
  </si>
  <si>
    <t xml:space="preserve"> BASIC</t>
  </si>
  <si>
    <t xml:space="preserve"> GROSS SALARY</t>
  </si>
  <si>
    <t>N0. OF MONTHS</t>
  </si>
  <si>
    <t xml:space="preserve"> TOTAL GROSS SALARY</t>
  </si>
  <si>
    <t xml:space="preserve"> NSSF(5.5%)</t>
  </si>
  <si>
    <t>NSSF(13%)</t>
  </si>
  <si>
    <t>TOTAL PAY COST</t>
  </si>
  <si>
    <t>TOTAL TAXABLE AMOUNT</t>
  </si>
  <si>
    <t>INCOME TAX</t>
  </si>
  <si>
    <t xml:space="preserve"> TOTAL DEDUCTION</t>
  </si>
  <si>
    <t xml:space="preserve"> NET PAY</t>
  </si>
  <si>
    <t>TEMP-905</t>
  </si>
  <si>
    <t>MATILDA CHARKO TETTEH</t>
  </si>
  <si>
    <t>TEMA HARBOUR</t>
  </si>
  <si>
    <t>TEMP-875</t>
  </si>
  <si>
    <t>DANIEL OPOKU AMPONSAH</t>
  </si>
  <si>
    <t>WEIJA OFFICE</t>
  </si>
  <si>
    <t>TEMP-079</t>
  </si>
  <si>
    <t>MICHAEL OBODAI TORGBOR</t>
  </si>
  <si>
    <t>CIRCLE OFFICE</t>
  </si>
  <si>
    <t>TEMP-080</t>
  </si>
  <si>
    <t>MERCY YAA ACHIAMAA DARKWAH</t>
  </si>
  <si>
    <t>TEMP-081</t>
  </si>
  <si>
    <t>FRANCIS MENSAH ANANE</t>
  </si>
  <si>
    <t>TEMP-082</t>
  </si>
  <si>
    <t>DANIEL NYARKO</t>
  </si>
  <si>
    <t>TEMP-083</t>
  </si>
  <si>
    <t>VERITAS JOSEPHINE NAA DEI ASHIE</t>
  </si>
  <si>
    <t>TEMP-284</t>
  </si>
  <si>
    <t>ISSIFU REHINATU</t>
  </si>
  <si>
    <t>TEMP-458</t>
  </si>
  <si>
    <t>BATTAH DANIEL</t>
  </si>
  <si>
    <t>AKATSI OFFICE</t>
  </si>
  <si>
    <t>TEMP-001</t>
  </si>
  <si>
    <t xml:space="preserve">DENNIS HENYO WISDOM </t>
  </si>
  <si>
    <t>GREATER ACCRA</t>
  </si>
  <si>
    <t>TEMP-004</t>
  </si>
  <si>
    <t>PADMORE AZIRE</t>
  </si>
  <si>
    <t>TEMP-005</t>
  </si>
  <si>
    <t>NATHANIEL WILLIAM KOTEI ASHIE</t>
  </si>
  <si>
    <t>TEMP-008</t>
  </si>
  <si>
    <t>MARY ODEIBEA MARFO</t>
  </si>
  <si>
    <t>TEMP-010</t>
  </si>
  <si>
    <t>JUSTINA FOSUAA BAWUAH</t>
  </si>
  <si>
    <t>TEMP-011</t>
  </si>
  <si>
    <t>MAVIS ADDO</t>
  </si>
  <si>
    <t>TEMP-013</t>
  </si>
  <si>
    <t>PATRICK ASOMAH-KUSI</t>
  </si>
  <si>
    <t>TEMP-014</t>
  </si>
  <si>
    <t>SEIDU HARUNA</t>
  </si>
  <si>
    <t>TEMP-017</t>
  </si>
  <si>
    <t>NAA ADJELEY MENSAH</t>
  </si>
  <si>
    <t>TEMP-019</t>
  </si>
  <si>
    <t>CHRISTIANA AKUA DANKWAAH</t>
  </si>
  <si>
    <t>TEMP-020</t>
  </si>
  <si>
    <t>JOSHUA NEEQUAYE KOTEY</t>
  </si>
  <si>
    <t>TEMP-021</t>
  </si>
  <si>
    <t>CALEB NII ARMAH ADASHIE</t>
  </si>
  <si>
    <t>TEMP-024</t>
  </si>
  <si>
    <t>MAURICE AZINAB</t>
  </si>
  <si>
    <t>TEMP-098</t>
  </si>
  <si>
    <t>WELBECK OPOKU JOEL</t>
  </si>
  <si>
    <t>TEMP-099</t>
  </si>
  <si>
    <t>FAUSTINA OSEI</t>
  </si>
  <si>
    <t>TEMP-101</t>
  </si>
  <si>
    <t>ODOI JESSICA OLA</t>
  </si>
  <si>
    <t>TEMP-102</t>
  </si>
  <si>
    <t>ALIMAT KABORE</t>
  </si>
  <si>
    <t>TEMP-105</t>
  </si>
  <si>
    <t>JULIET PREKO</t>
  </si>
  <si>
    <t>TEMP-107</t>
  </si>
  <si>
    <t>RACHEAL AYIKWEI</t>
  </si>
  <si>
    <t>TEMP-111</t>
  </si>
  <si>
    <t>JONATHAN ABALE MENSAH</t>
  </si>
  <si>
    <t>TEMP-112</t>
  </si>
  <si>
    <t>ANNAN RICHMOND</t>
  </si>
  <si>
    <t>TEMP-339</t>
  </si>
  <si>
    <t>JAMES TAKYI AMOAH</t>
  </si>
  <si>
    <t>TEMP-061</t>
  </si>
  <si>
    <t>EMMANUEL A. ANNANG</t>
  </si>
  <si>
    <t>HEAD OFFICE ADMIN</t>
  </si>
  <si>
    <t>TEMP-062</t>
  </si>
  <si>
    <t>KENNEDY OWUSU</t>
  </si>
  <si>
    <t>TEMP-426</t>
  </si>
  <si>
    <t>EMMANUEL  QUAYNOR</t>
  </si>
  <si>
    <t>TEMP-436</t>
  </si>
  <si>
    <t>EMMANUEL ADJAH ANNANG</t>
  </si>
  <si>
    <t>TEMP-130</t>
  </si>
  <si>
    <t>DESMOND OPOKU</t>
  </si>
  <si>
    <t>HEAD OFFICE HR</t>
  </si>
  <si>
    <t>TEMP-169</t>
  </si>
  <si>
    <t>EMMANUEL BOSOMPEM</t>
  </si>
  <si>
    <t>HEAD OFFICE PME</t>
  </si>
  <si>
    <t>TEMP-170</t>
  </si>
  <si>
    <t>MARY YAA NYARKO</t>
  </si>
  <si>
    <t>TEMP-120</t>
  </si>
  <si>
    <t>BETHEL LARTELEY GUSTAV -LARTEY</t>
  </si>
  <si>
    <t xml:space="preserve">HEAD OFFICE PR </t>
  </si>
  <si>
    <t>TEMP-158</t>
  </si>
  <si>
    <t>﻿﻿﻿﻿JOSEPH HARMOND</t>
  </si>
  <si>
    <t>TEMP-159</t>
  </si>
  <si>
    <t>AKPABLI MAXWELL</t>
  </si>
  <si>
    <t>TEMP-182</t>
  </si>
  <si>
    <t>ABDUL-RAHAMAN ABDULAI</t>
  </si>
  <si>
    <t>TEMP-185</t>
  </si>
  <si>
    <t>DANIEL ETSE AKABAH</t>
  </si>
  <si>
    <t>HEAD OFFICE SERVICE EXCELLENCE</t>
  </si>
  <si>
    <t>TEMP-286</t>
  </si>
  <si>
    <t>DOROTHY NAADEI DJANI - BLANKSON</t>
  </si>
  <si>
    <t>SPINTEX</t>
  </si>
  <si>
    <t>TEMP-288</t>
  </si>
  <si>
    <t xml:space="preserve">AUGUSTINA TEIKO </t>
  </si>
  <si>
    <t>TEMP-233</t>
  </si>
  <si>
    <t>ABDUL KASSIM</t>
  </si>
  <si>
    <t>TAKORADI OFFICE</t>
  </si>
  <si>
    <t>TEMP-293</t>
  </si>
  <si>
    <t>OSMAN MARIAM</t>
  </si>
  <si>
    <t>WA OFFICE</t>
  </si>
  <si>
    <t>TEMP-296</t>
  </si>
  <si>
    <t>ABUBAKAR KASIM</t>
  </si>
  <si>
    <t>TEMP-316</t>
  </si>
  <si>
    <t>COURAGE AZALEKOR MAWUTUTOR AKU</t>
  </si>
  <si>
    <t>TEMP-320</t>
  </si>
  <si>
    <t>BERNICE ESSEL</t>
  </si>
  <si>
    <t>TEMP-177</t>
  </si>
  <si>
    <t>﻿﻿﻿﻿FELIX LAMPTEY</t>
  </si>
  <si>
    <t>TEMP-132</t>
  </si>
  <si>
    <t>MICHAEL DODZI NUKUNU</t>
  </si>
  <si>
    <t>TEMP-133</t>
  </si>
  <si>
    <t>MUSAH AMIN</t>
  </si>
  <si>
    <t>TEMP-135</t>
  </si>
  <si>
    <t>ERNEST NII HAMMOND</t>
  </si>
  <si>
    <t>TEMP-136</t>
  </si>
  <si>
    <t>ANIM APPREY ISAAC</t>
  </si>
  <si>
    <t>TEMP-063</t>
  </si>
  <si>
    <t>﻿﻿﻿﻿JEFFREY NII YEBOAH NORTEY</t>
  </si>
  <si>
    <t>ADENTAN OFFICE(COMPLIANCE)</t>
  </si>
  <si>
    <t>TEMP-477</t>
  </si>
  <si>
    <t>LEONIDAS WULFF-NORTEY</t>
  </si>
  <si>
    <t>TEMP-479</t>
  </si>
  <si>
    <t>FRANCIS KWABENA NKETIA</t>
  </si>
  <si>
    <t>TEMP-480</t>
  </si>
  <si>
    <t>ERIC YAMOAH</t>
  </si>
  <si>
    <t>TEMP-481</t>
  </si>
  <si>
    <t>JOSEPH DARLINGTON OKINE</t>
  </si>
  <si>
    <t>TEMP-483</t>
  </si>
  <si>
    <t>AGYAPONG NIKITA</t>
  </si>
  <si>
    <t>TEMP-484</t>
  </si>
  <si>
    <t>DEKU DANIEL BEDDUDT</t>
  </si>
  <si>
    <t>TEMP-485</t>
  </si>
  <si>
    <t>ALIMIYAO ADAMU</t>
  </si>
  <si>
    <t>TEMP-488</t>
  </si>
  <si>
    <t>MARIAM ZIGAH</t>
  </si>
  <si>
    <t>TEMP-490</t>
  </si>
  <si>
    <t>EVELYN AYELEY ARMAH</t>
  </si>
  <si>
    <t>TEMP-495</t>
  </si>
  <si>
    <t>EMMANUEL KWABENA PREMPEH</t>
  </si>
  <si>
    <t>TEMP-502</t>
  </si>
  <si>
    <t>ALHASSAN MOHAMMED NEINDOW</t>
  </si>
  <si>
    <t>TEMA OFFICE</t>
  </si>
  <si>
    <t>TEMP-503</t>
  </si>
  <si>
    <t>SABLA MILSON PATRICK</t>
  </si>
  <si>
    <t>TEMP-504</t>
  </si>
  <si>
    <t>ABDULAI RUHIYA</t>
  </si>
  <si>
    <t>TEMP-505</t>
  </si>
  <si>
    <t>FUIZATU FUSEINI</t>
  </si>
  <si>
    <t>TEMP-506</t>
  </si>
  <si>
    <t>BERNICE YAWA AFENU</t>
  </si>
  <si>
    <t>TEMP-507</t>
  </si>
  <si>
    <t>DUKE APPIAH KWAFO</t>
  </si>
  <si>
    <t>TEMP-508</t>
  </si>
  <si>
    <t>HUMPHREY KWAKU MATEY-TEYE</t>
  </si>
  <si>
    <t>TEMP-509</t>
  </si>
  <si>
    <t>HAMDU SEIDU</t>
  </si>
  <si>
    <t>TAMALE OFFICE</t>
  </si>
  <si>
    <t>TEMP-510</t>
  </si>
  <si>
    <t>IBRAHIM OKASHA</t>
  </si>
  <si>
    <t>TEMP-511</t>
  </si>
  <si>
    <t>ELIJAH PAUL DRAMANI</t>
  </si>
  <si>
    <t>TEMP-512</t>
  </si>
  <si>
    <t>ISSAH AWAL</t>
  </si>
  <si>
    <t>TEMP-514</t>
  </si>
  <si>
    <t>ABDUL-RAHAMAN FUSEINI</t>
  </si>
  <si>
    <t>TEMP-528</t>
  </si>
  <si>
    <t>AISHATU SUMAILA</t>
  </si>
  <si>
    <t>KUMASI OFFICE</t>
  </si>
  <si>
    <t>TEMP-531</t>
  </si>
  <si>
    <t>JESSICA OSEI AGYEMANG</t>
  </si>
  <si>
    <t>TEMP-532</t>
  </si>
  <si>
    <t>AUGUSTINA OSEI</t>
  </si>
  <si>
    <t>HEAD OFFICE PR</t>
  </si>
  <si>
    <t>TEMP-533</t>
  </si>
  <si>
    <t>SAMUEL AMAKYE-QUAYSON</t>
  </si>
  <si>
    <t>TEMP-535</t>
  </si>
  <si>
    <t>RABEATU ZAKARIA</t>
  </si>
  <si>
    <t>TEMP-536</t>
  </si>
  <si>
    <t>YASMIN ABDUL SAMADU</t>
  </si>
  <si>
    <t>TEMP-537</t>
  </si>
  <si>
    <t>REGINALD BILSON</t>
  </si>
  <si>
    <t>TEMP-538</t>
  </si>
  <si>
    <t>FRANK NUMLAN DOCNIKA</t>
  </si>
  <si>
    <t>TEMP-541</t>
  </si>
  <si>
    <t>IBRAHIM HASSAN MAULAYA</t>
  </si>
  <si>
    <t>TEMP-543</t>
  </si>
  <si>
    <t>SARAH ARYETTEY-COFFIE</t>
  </si>
  <si>
    <t>TEMP-115</t>
  </si>
  <si>
    <t>MONICA BAIDEN</t>
  </si>
  <si>
    <t>HEAD OFFICE FINANCE</t>
  </si>
  <si>
    <t>TEMP-127</t>
  </si>
  <si>
    <t>ESTHER ANNAN</t>
  </si>
  <si>
    <t>TEMP-187</t>
  </si>
  <si>
    <t>RICHMOND OKAI AGYEI</t>
  </si>
  <si>
    <t>TEMP-117</t>
  </si>
  <si>
    <t>YUSSIF KAMIL</t>
  </si>
  <si>
    <t>TEMP-118</t>
  </si>
  <si>
    <t>ELVIRA ASANTE OSEI - DU</t>
  </si>
  <si>
    <t>TEMP-291</t>
  </si>
  <si>
    <t>HAWAWU BELLO</t>
  </si>
  <si>
    <t>ANYAA ULTRA</t>
  </si>
  <si>
    <t>TEMP-292</t>
  </si>
  <si>
    <t>AMINU DAPORE</t>
  </si>
  <si>
    <t>HEAD OFFICE VIR</t>
  </si>
  <si>
    <t>TEMP-167</t>
  </si>
  <si>
    <t>BRIGHTER NSAFOAH BOATEMAA</t>
  </si>
  <si>
    <t>TEMP-155</t>
  </si>
  <si>
    <t>﻿﻿﻿﻿SAMUEL OWUSU BOATENG</t>
  </si>
  <si>
    <t>HEAD OFFICE IT</t>
  </si>
  <si>
    <t>TEMP-180</t>
  </si>
  <si>
    <t>ADJEI DENZIL ASIAM</t>
  </si>
  <si>
    <t>TEMP-189</t>
  </si>
  <si>
    <t>REXFORD ARTHUR QUANSAH</t>
  </si>
  <si>
    <t>TEMP-217</t>
  </si>
  <si>
    <t>GIDEON ODOOM</t>
  </si>
  <si>
    <t>TEMP-183</t>
  </si>
  <si>
    <t>EDMOND ALEXANDER AMPENE</t>
  </si>
  <si>
    <t>HEAD OFFICE PROCUREMENT</t>
  </si>
  <si>
    <t>TEMP-203</t>
  </si>
  <si>
    <t>SYBEL WIREDU</t>
  </si>
  <si>
    <t>KOFORIDUA OFFICE</t>
  </si>
  <si>
    <t>TEMP-301</t>
  </si>
  <si>
    <t>PHILIP OBENG</t>
  </si>
  <si>
    <t>TEMP-297</t>
  </si>
  <si>
    <t>EZEKIEL NII LARBI LARBIE</t>
  </si>
  <si>
    <t>TEMP-145</t>
  </si>
  <si>
    <t>MOSES NINKPLE BIKUGNA</t>
  </si>
  <si>
    <t>TEMP-319</t>
  </si>
  <si>
    <t>TAWFIQ BOTCWAY</t>
  </si>
  <si>
    <t>TEMP-302</t>
  </si>
  <si>
    <t>ELIKPLIM AHETOH</t>
  </si>
  <si>
    <t>TEMP-304</t>
  </si>
  <si>
    <t>DICKSON SHADRACH</t>
  </si>
  <si>
    <t>TEMP-308</t>
  </si>
  <si>
    <t>PHILIP ESSEL</t>
  </si>
  <si>
    <t>TEMP-309</t>
  </si>
  <si>
    <t>QUAYNOR ISHMAEL ADDO</t>
  </si>
  <si>
    <t>TEMP-310</t>
  </si>
  <si>
    <t>SENANU AHADZI</t>
  </si>
  <si>
    <t>TEMP-314</t>
  </si>
  <si>
    <t>ISAAC KWESI BLANKSON</t>
  </si>
  <si>
    <t>TEMP-317</t>
  </si>
  <si>
    <t>KARIMATU AWUDU</t>
  </si>
  <si>
    <t>TEMP-911</t>
  </si>
  <si>
    <t>FRANCIS NYIAM</t>
  </si>
  <si>
    <t>TEMP-290</t>
  </si>
  <si>
    <t>PRISCILLA AKPENE TETTEH</t>
  </si>
  <si>
    <t>TEMP-085</t>
  </si>
  <si>
    <t>AUGUSTINE SENYO AGBENATOE</t>
  </si>
  <si>
    <t>DENU OFFICE</t>
  </si>
  <si>
    <t>TEMP-229</t>
  </si>
  <si>
    <t>WASSILA MAHAMA</t>
  </si>
  <si>
    <t>SUNYANI OFFICE</t>
  </si>
  <si>
    <t>TEMP-273</t>
  </si>
  <si>
    <t xml:space="preserve">ALFRED YEBOAH </t>
  </si>
  <si>
    <t>TEMP-272</t>
  </si>
  <si>
    <t>LOVERANCE YEBOAH</t>
  </si>
  <si>
    <t>TEMP-274</t>
  </si>
  <si>
    <t>MAMUMATU MOHAMMED</t>
  </si>
  <si>
    <t>TEMP-275</t>
  </si>
  <si>
    <t>ISAAC NANA TAWIAH</t>
  </si>
  <si>
    <t>TEMP-277</t>
  </si>
  <si>
    <t>MARIAM FUSEINI</t>
  </si>
  <si>
    <t>TEMP-271</t>
  </si>
  <si>
    <t>JOSEPH IBAYA LAFAMA</t>
  </si>
  <si>
    <t>TEMP-276</t>
  </si>
  <si>
    <t>COMFORT FOLLEY</t>
  </si>
  <si>
    <t>TEMP-280</t>
  </si>
  <si>
    <t>KENNETH OWUSU MENSAH</t>
  </si>
  <si>
    <t>TEMP-252</t>
  </si>
  <si>
    <t>BAYARI HIENEIZER SURAJ</t>
  </si>
  <si>
    <t>TECHIMAN OFFICE</t>
  </si>
  <si>
    <t>TEMP-243</t>
  </si>
  <si>
    <t>AL MIN ZAKARIA</t>
  </si>
  <si>
    <t>TEMP-242</t>
  </si>
  <si>
    <t>KAYALA PAASOR</t>
  </si>
  <si>
    <t>TEMP-241</t>
  </si>
  <si>
    <t>ISSAH LATIF</t>
  </si>
  <si>
    <t>TEMP-240</t>
  </si>
  <si>
    <t>ABDUL WARIS TAMIMU</t>
  </si>
  <si>
    <t>TEMP-088</t>
  </si>
  <si>
    <t>MAAME EFUA ASANEWAAH OTOO</t>
  </si>
  <si>
    <t xml:space="preserve">HEAD OFFICE DTTL </t>
  </si>
  <si>
    <t>TEMP-074</t>
  </si>
  <si>
    <t>FELIX NKRUMAH</t>
  </si>
  <si>
    <t>CAPE COAST</t>
  </si>
  <si>
    <t>TEMP-137</t>
  </si>
  <si>
    <t>ERIC SAAYA</t>
  </si>
  <si>
    <t>HEAD OFFICE (CLEANER)</t>
  </si>
  <si>
    <t>TEMP-121</t>
  </si>
  <si>
    <t>EDITH KRAMPAH</t>
  </si>
  <si>
    <t>TEMP-344</t>
  </si>
  <si>
    <t>PRISCILLA AKUA JAYNE</t>
  </si>
  <si>
    <t>TEMP-253</t>
  </si>
  <si>
    <t>CLEMENT ADJETEY OKOE</t>
  </si>
  <si>
    <t>TEMA HABOUR</t>
  </si>
  <si>
    <t>TEMP-254</t>
  </si>
  <si>
    <t>DAVID ANUM HONU</t>
  </si>
  <si>
    <t>TEMP-256</t>
  </si>
  <si>
    <t>DENNIS K. DOE</t>
  </si>
  <si>
    <t>TEMP-257</t>
  </si>
  <si>
    <t>GIFTY ANOKYEWAA</t>
  </si>
  <si>
    <t>TEMP-258</t>
  </si>
  <si>
    <t>MATHIAS ASHITEY</t>
  </si>
  <si>
    <t>TEMP-259</t>
  </si>
  <si>
    <t xml:space="preserve">NATHASIA OTUKUOR OTU </t>
  </si>
  <si>
    <t>TEMP-260</t>
  </si>
  <si>
    <t>NSIAH ADJEI PASCAL</t>
  </si>
  <si>
    <t>TEMP-261</t>
  </si>
  <si>
    <t>ANDERSON PORTIA</t>
  </si>
  <si>
    <t>TEMP-262</t>
  </si>
  <si>
    <t>REGINALD KUMAH JOHNSON</t>
  </si>
  <si>
    <t>TEMP-263</t>
  </si>
  <si>
    <t>WENDY MANSA BONNEY</t>
  </si>
  <si>
    <t>TEMP-264</t>
  </si>
  <si>
    <t>WINFRED NYAGLAMAH</t>
  </si>
  <si>
    <t>TEMP-265</t>
  </si>
  <si>
    <t xml:space="preserve">MAGDALENE OBAA TAWIAH </t>
  </si>
  <si>
    <t>TEMP-266</t>
  </si>
  <si>
    <t>SAVERA SERWAH BONSIE</t>
  </si>
  <si>
    <t>TEMP-267</t>
  </si>
  <si>
    <t>BERNARD OBLITEY</t>
  </si>
  <si>
    <t>TEMP-268</t>
  </si>
  <si>
    <t>EVELYN SACKEY</t>
  </si>
  <si>
    <t>TEMP-269</t>
  </si>
  <si>
    <t>GLADYS NANA AMA KONTOH</t>
  </si>
  <si>
    <t>TEMP-040</t>
  </si>
  <si>
    <t>WELLINTON ODARTEI BILL</t>
  </si>
  <si>
    <t>ADENTAN OFFICE</t>
  </si>
  <si>
    <t>TEMP-044</t>
  </si>
  <si>
    <t>ILHAAM MOHAMMED AWAL</t>
  </si>
  <si>
    <t>TEMP-045</t>
  </si>
  <si>
    <t>SAMUEL ANUM AKORNOR</t>
  </si>
  <si>
    <t>TEMP-038</t>
  </si>
  <si>
    <t>GLIVEY BENJAMIN HAMJAY</t>
  </si>
  <si>
    <t>TEMP-026</t>
  </si>
  <si>
    <t>EMMANUEL JONAD SARPONG</t>
  </si>
  <si>
    <t>TEMP-054</t>
  </si>
  <si>
    <t>ABDUL-GAFARU TUFERU</t>
  </si>
  <si>
    <t>TEMP-172</t>
  </si>
  <si>
    <t>WOVENU AGBELESI ADELAIDE</t>
  </si>
  <si>
    <t>TEMP-379</t>
  </si>
  <si>
    <t>AMINU TAIBU</t>
  </si>
  <si>
    <t>TEMP-027</t>
  </si>
  <si>
    <t>HASHIM MISBAWU</t>
  </si>
  <si>
    <t>TEMP-250</t>
  </si>
  <si>
    <t>ANITA ABUGRI</t>
  </si>
  <si>
    <t>TEMP-168</t>
  </si>
  <si>
    <t>VICENCIA DAVIES GORKEH</t>
  </si>
  <si>
    <t>TEMP-140</t>
  </si>
  <si>
    <t>﻿﻿﻿DAVID ATSU AKABAH</t>
  </si>
  <si>
    <t>TEMP-143</t>
  </si>
  <si>
    <t>LINDA OKAI</t>
  </si>
  <si>
    <t>TEMP-144</t>
  </si>
  <si>
    <t>EMELIA NAA SHOME DOWUONA</t>
  </si>
  <si>
    <t>TEMP-142</t>
  </si>
  <si>
    <t>BEAUTY CODJOE</t>
  </si>
  <si>
    <t>TEMP-141</t>
  </si>
  <si>
    <t>﻿﻿﻿﻿CHRISTOPHER FYNN</t>
  </si>
  <si>
    <t>TEMP-139</t>
  </si>
  <si>
    <t>﻿﻿﻿TECHIE EMMANUEL</t>
  </si>
  <si>
    <t>TEMP-601</t>
  </si>
  <si>
    <t>AMOAKO JOSHUA</t>
  </si>
  <si>
    <t>TEMP-603</t>
  </si>
  <si>
    <t>ABUBAKAR ABDUL-MAJEED</t>
  </si>
  <si>
    <t>TEMP-605</t>
  </si>
  <si>
    <t>RAMSEY ABRAHAM NETTEY</t>
  </si>
  <si>
    <t>TEMP-609</t>
  </si>
  <si>
    <t>SARFO NANA POKU</t>
  </si>
  <si>
    <t>TEMP-610</t>
  </si>
  <si>
    <t>GODWIN AFEDZI</t>
  </si>
  <si>
    <t>TEMP-613</t>
  </si>
  <si>
    <t>EVELYN ENYONAM SEMEHIA</t>
  </si>
  <si>
    <t>TEMP-614</t>
  </si>
  <si>
    <t>MILDRED SOPHIA ATTOH</t>
  </si>
  <si>
    <t>TEMP-616</t>
  </si>
  <si>
    <t>IMORO BAWA HABIB</t>
  </si>
  <si>
    <t>TEMP-617</t>
  </si>
  <si>
    <t>ABDULAI MOHAMMED NURIDEEN</t>
  </si>
  <si>
    <t>TEMP-625</t>
  </si>
  <si>
    <t>BEAUTY YAA GOMADO</t>
  </si>
  <si>
    <t>TEMP-628</t>
  </si>
  <si>
    <t>DELPHINA KWARA</t>
  </si>
  <si>
    <t>TEMP-630</t>
  </si>
  <si>
    <t>JESSICA ODAME</t>
  </si>
  <si>
    <t>TEMP-632</t>
  </si>
  <si>
    <t>DORCAS OBENEWAAH ADU</t>
  </si>
  <si>
    <t>TEMP-634</t>
  </si>
  <si>
    <t>NANA OSEI TUTU KURAGU</t>
  </si>
  <si>
    <t>TEMP-640</t>
  </si>
  <si>
    <t>ACHEDEY WISDOM</t>
  </si>
  <si>
    <t>HOHOE OFFICE</t>
  </si>
  <si>
    <t>TEMP-641</t>
  </si>
  <si>
    <t>GOGAH ISAAC</t>
  </si>
  <si>
    <t>TEMP-647</t>
  </si>
  <si>
    <t>LATIFATU ARAFAT</t>
  </si>
  <si>
    <t>TEMP-665</t>
  </si>
  <si>
    <t>IMAN UMAR BRUCE</t>
  </si>
  <si>
    <t>TEMP-666</t>
  </si>
  <si>
    <t>SELMA BATAEBO</t>
  </si>
  <si>
    <t>TEMP-669</t>
  </si>
  <si>
    <t>BASHIRU FAYIZA</t>
  </si>
  <si>
    <t>TEMP-670</t>
  </si>
  <si>
    <t>SAYIDA BASHIRU ZAKARIA</t>
  </si>
  <si>
    <t>TEMP-677</t>
  </si>
  <si>
    <t>SALOMEY OSABUTEY</t>
  </si>
  <si>
    <t>TEMP-678</t>
  </si>
  <si>
    <t>MAVIS JOHNSON</t>
  </si>
  <si>
    <t>TEMP-681</t>
  </si>
  <si>
    <t>SEIDU NAFISAH</t>
  </si>
  <si>
    <t>NKAWKAW</t>
  </si>
  <si>
    <t>TEMP-683</t>
  </si>
  <si>
    <t>WINIFRED MAABENA DEI</t>
  </si>
  <si>
    <t>TEMP-684</t>
  </si>
  <si>
    <t>CLIFFORD ASARE</t>
  </si>
  <si>
    <t>TEMP-688</t>
  </si>
  <si>
    <t>HILDA ELINAM ADZOA ADZAH</t>
  </si>
  <si>
    <t>TEMP-689</t>
  </si>
  <si>
    <t>MONICA NYALIKA BIJAH</t>
  </si>
  <si>
    <t>TEMP-690</t>
  </si>
  <si>
    <t>ANGELA NAA ADOLEY</t>
  </si>
  <si>
    <t>TEMP-691</t>
  </si>
  <si>
    <t>DATIATA LEWIS KODOM</t>
  </si>
  <si>
    <t>TEMP-697</t>
  </si>
  <si>
    <t>TAMINA DAUDA</t>
  </si>
  <si>
    <t>TEMP-698</t>
  </si>
  <si>
    <t>HARRIET NAA DEDEI AMAH</t>
  </si>
  <si>
    <t>TEMP-700</t>
  </si>
  <si>
    <t>DANIEL ASHITEY</t>
  </si>
  <si>
    <t>TEMP-703</t>
  </si>
  <si>
    <t>GEORGINA BOATENG</t>
  </si>
  <si>
    <t>TEMP-708</t>
  </si>
  <si>
    <t>DAVID NII AYITEY BROWN</t>
  </si>
  <si>
    <t>TEMP-328</t>
  </si>
  <si>
    <t>KINGSLEY EKOW YAMOAH</t>
  </si>
  <si>
    <t>WINNEBA OFFICE</t>
  </si>
  <si>
    <t>TEMP-713</t>
  </si>
  <si>
    <t>CONSTANCE AKUA ESSUMAN</t>
  </si>
  <si>
    <t>TEMP-714</t>
  </si>
  <si>
    <t>ISAAC ASARE ADDY</t>
  </si>
  <si>
    <t>TEMP-716</t>
  </si>
  <si>
    <t>MUFTAO ADAMS</t>
  </si>
  <si>
    <t>TEMP-719</t>
  </si>
  <si>
    <t>SAAKA RABIATA</t>
  </si>
  <si>
    <t>TEMP-723</t>
  </si>
  <si>
    <t>NUHU ALFAN</t>
  </si>
  <si>
    <t>TEMP-724</t>
  </si>
  <si>
    <t>ABDUL SALAM NIHAD</t>
  </si>
  <si>
    <t>TEMP-726</t>
  </si>
  <si>
    <t>ALHASSAN BABA NAFISATU</t>
  </si>
  <si>
    <t>TEMP-729</t>
  </si>
  <si>
    <t>FRANCISCA APPIAH</t>
  </si>
  <si>
    <t>TEMP-731</t>
  </si>
  <si>
    <t>MOHAMMED ABDUL GALIB</t>
  </si>
  <si>
    <t>TEMP-734</t>
  </si>
  <si>
    <t>AWUDU LATIF</t>
  </si>
  <si>
    <t>TEMP-753</t>
  </si>
  <si>
    <t>ABDULAI PHILIP NUHU</t>
  </si>
  <si>
    <t>AXIM OFFICE</t>
  </si>
  <si>
    <t>TEMP-755</t>
  </si>
  <si>
    <t>GIDEON KWOFIE</t>
  </si>
  <si>
    <t>TEMP-756</t>
  </si>
  <si>
    <t>ASANTEWAA KUMI ANGELA</t>
  </si>
  <si>
    <t>TEMP-757</t>
  </si>
  <si>
    <t>HANNAH MENSAH</t>
  </si>
  <si>
    <t>OBUASI OFFICE</t>
  </si>
  <si>
    <t>TEMP-758</t>
  </si>
  <si>
    <t>RAYMOND TAY</t>
  </si>
  <si>
    <t>HO OFFICE</t>
  </si>
  <si>
    <t>TEMP-763</t>
  </si>
  <si>
    <t>EUNICE MARY MARK HANSEN</t>
  </si>
  <si>
    <t>DANSOMAN</t>
  </si>
  <si>
    <t>TEMP-764</t>
  </si>
  <si>
    <t>FRANK YAOTSE KUDOR</t>
  </si>
  <si>
    <t>TEMP-767</t>
  </si>
  <si>
    <t>REBECCA YEBOAH</t>
  </si>
  <si>
    <t>TEMP-775</t>
  </si>
  <si>
    <t>PATRICIA OYE TETTEH</t>
  </si>
  <si>
    <t>HEAD OFFICE RBDI</t>
  </si>
  <si>
    <t>TEMP-776</t>
  </si>
  <si>
    <t>BELINDA SAFOA AMOAKO</t>
  </si>
  <si>
    <t>TEMP-777</t>
  </si>
  <si>
    <t>MAWUDEM ELIJAH KOFI EDEM</t>
  </si>
  <si>
    <t>TEMP-779</t>
  </si>
  <si>
    <t>GRACE ESENAM OGBETEY</t>
  </si>
  <si>
    <t>TEMP-781</t>
  </si>
  <si>
    <t>PATIENCE YAMOAH</t>
  </si>
  <si>
    <t>TEMP-782</t>
  </si>
  <si>
    <t>MARGARET AMOANYI</t>
  </si>
  <si>
    <t>TEMP-785</t>
  </si>
  <si>
    <t>MARY DOMAPILE</t>
  </si>
  <si>
    <t>TEMP-794</t>
  </si>
  <si>
    <t>AFFUL MICHAEL</t>
  </si>
  <si>
    <t>TEMP-795</t>
  </si>
  <si>
    <t>ASIAMAH RICHARD</t>
  </si>
  <si>
    <t>TEMP-804</t>
  </si>
  <si>
    <t>LEILA TIPAGYA ZAKARIA</t>
  </si>
  <si>
    <t>TEMP-815</t>
  </si>
  <si>
    <t>ABDUL RAHMAN SERAJU</t>
  </si>
  <si>
    <t>TEMP-821</t>
  </si>
  <si>
    <t>ERIC BOACHIE</t>
  </si>
  <si>
    <t>BONWIRE</t>
  </si>
  <si>
    <t>TEMP-822</t>
  </si>
  <si>
    <t>OTUO ACHEAMPONG THOMAS</t>
  </si>
  <si>
    <t>TEMP-823</t>
  </si>
  <si>
    <t>OWUSU BISMARK</t>
  </si>
  <si>
    <t>TEMP-824</t>
  </si>
  <si>
    <t>ASAMOAH KESSBEN BISMARK</t>
  </si>
  <si>
    <t>TEMP-825</t>
  </si>
  <si>
    <t>JOSEPH COPHIE</t>
  </si>
  <si>
    <t>TEMP-828</t>
  </si>
  <si>
    <t>NAYINA REBECCA</t>
  </si>
  <si>
    <t>TEMP-915</t>
  </si>
  <si>
    <t>MAXWELL ANANI</t>
  </si>
  <si>
    <t>TEMP-687</t>
  </si>
  <si>
    <t>DAVID TETTEH ANNAN NETTEY</t>
  </si>
  <si>
    <t>TEMP-682</t>
  </si>
  <si>
    <t>HUMU ALHASSAN</t>
  </si>
  <si>
    <t>TEMP-623</t>
  </si>
  <si>
    <t>JOSEPH ODOOM</t>
  </si>
  <si>
    <t>TEMP-850</t>
  </si>
  <si>
    <t>MOHAMMED SAANI KHADIJA</t>
  </si>
  <si>
    <t>TEMP-851</t>
  </si>
  <si>
    <t>FATIMA BABA</t>
  </si>
  <si>
    <t>TEMP-853</t>
  </si>
  <si>
    <t>AYISHETU ELIASU</t>
  </si>
  <si>
    <t>TEMP-855</t>
  </si>
  <si>
    <t>AHMED IBRAHIM</t>
  </si>
  <si>
    <t>TEMP-856</t>
  </si>
  <si>
    <t>HENRY YAMOAH</t>
  </si>
  <si>
    <t>TEMP-857</t>
  </si>
  <si>
    <t>INUSAH SALIMA</t>
  </si>
  <si>
    <t>TEMP-858</t>
  </si>
  <si>
    <t>BAKUORU MURIJANATU GBANA</t>
  </si>
  <si>
    <t>MAMPONG OFFICE</t>
  </si>
  <si>
    <t>TEMP-861</t>
  </si>
  <si>
    <t>HARRY EDEM DEGBADZOR</t>
  </si>
  <si>
    <t>TEMP-864</t>
  </si>
  <si>
    <t>ANITA KESSIE</t>
  </si>
  <si>
    <t>TARKWA OFFICE</t>
  </si>
  <si>
    <t>TEMP-866</t>
  </si>
  <si>
    <t xml:space="preserve">ISAAC KOJO BAAH </t>
  </si>
  <si>
    <t>TEMP-867</t>
  </si>
  <si>
    <t>FATIMA SALIU</t>
  </si>
  <si>
    <t>TEMP-868</t>
  </si>
  <si>
    <t>JAMES ANQUANDAH</t>
  </si>
  <si>
    <t>TEMP-870</t>
  </si>
  <si>
    <t>IBRAHIM MOHAMMED</t>
  </si>
  <si>
    <t>TEMP-871</t>
  </si>
  <si>
    <t>SAMPSON NYARKO</t>
  </si>
  <si>
    <t>TEMP-872</t>
  </si>
  <si>
    <t>ELIKEM AFI AHIAWOR</t>
  </si>
  <si>
    <t>TEMP-873</t>
  </si>
  <si>
    <t>THELMA JUDITH NAA LAMILEY</t>
  </si>
  <si>
    <t>TEMP-876</t>
  </si>
  <si>
    <t>KINGSLEY ARTHUR</t>
  </si>
  <si>
    <t>TEMP-879</t>
  </si>
  <si>
    <t>FUAD SUMAIYATU</t>
  </si>
  <si>
    <t>TEMP-880</t>
  </si>
  <si>
    <t>AISHA ABUBAKAR</t>
  </si>
  <si>
    <t>TEMP-881</t>
  </si>
  <si>
    <t>EDITH OYEH</t>
  </si>
  <si>
    <t>TEMP-882</t>
  </si>
  <si>
    <t>THEOPHILUS YAW ANTIRI</t>
  </si>
  <si>
    <t>AKIM ODA</t>
  </si>
  <si>
    <t>TEMP-883</t>
  </si>
  <si>
    <t>AKAGBOR NELLIE</t>
  </si>
  <si>
    <t>TEMP-884</t>
  </si>
  <si>
    <t>ANIPAH SEBASTIAN</t>
  </si>
  <si>
    <t>TEMP-885</t>
  </si>
  <si>
    <t>ABBA ANDY HOPE KWAME</t>
  </si>
  <si>
    <t>TEMP-886</t>
  </si>
  <si>
    <t>DIVINE ADANYA</t>
  </si>
  <si>
    <t>TEMP-887</t>
  </si>
  <si>
    <t>RAHAMAN JEDUAH MAHAMA</t>
  </si>
  <si>
    <t>OFFINSO</t>
  </si>
  <si>
    <t>TEMP-890</t>
  </si>
  <si>
    <t>ALHASSAN ISSAHAKU</t>
  </si>
  <si>
    <t>BOLE</t>
  </si>
  <si>
    <t>TEMP-893</t>
  </si>
  <si>
    <t>KWAKU OPOKU WARE</t>
  </si>
  <si>
    <t>HEAD OFFICE PRINT FARM</t>
  </si>
  <si>
    <t>TEMP-894</t>
  </si>
  <si>
    <t>SOLOMON NARTEY QUAYE</t>
  </si>
  <si>
    <t>TEMP-895</t>
  </si>
  <si>
    <t>GODFRED OWUSU TWUM</t>
  </si>
  <si>
    <t>TEMP-896</t>
  </si>
  <si>
    <t>MILLICENT AMOAKO</t>
  </si>
  <si>
    <t>TEMP-068</t>
  </si>
  <si>
    <t xml:space="preserve">DORCAS KIWA </t>
  </si>
  <si>
    <t>TEMP-069</t>
  </si>
  <si>
    <t>AFIA ESUNGA</t>
  </si>
  <si>
    <t>TEMP-070</t>
  </si>
  <si>
    <t>MAHAMA ADISHETU</t>
  </si>
  <si>
    <t>TEMP-065</t>
  </si>
  <si>
    <t>EWURA TAKORA KENNETH</t>
  </si>
  <si>
    <t>TEMP-066</t>
  </si>
  <si>
    <t>JEBUNI ISSAHAKU</t>
  </si>
  <si>
    <t>TEMP-337</t>
  </si>
  <si>
    <t>JOSEPH AHAANAMAAL DASSAH</t>
  </si>
  <si>
    <t>TEMP-347</t>
  </si>
  <si>
    <t>ISSAHAKU DUKE MAHAMA</t>
  </si>
  <si>
    <t>TEMP-349</t>
  </si>
  <si>
    <t xml:space="preserve">AHMED MUSTAPHA </t>
  </si>
  <si>
    <t>TEMP-350</t>
  </si>
  <si>
    <t>BRAIMAH ABDUL-RASHID</t>
  </si>
  <si>
    <t>TEMP-353</t>
  </si>
  <si>
    <t>FUSEINI RAZAK</t>
  </si>
  <si>
    <t>TEMP-359</t>
  </si>
  <si>
    <t>SABOGU ISAAC</t>
  </si>
  <si>
    <t>TEMP-366</t>
  </si>
  <si>
    <t>ARNOLD WLETSU</t>
  </si>
  <si>
    <t>TEMP-397</t>
  </si>
  <si>
    <t>KWARTENG SARFO FORKUOH</t>
  </si>
  <si>
    <t>TEMP-442</t>
  </si>
  <si>
    <t>EMMANUEL QUAYE ASHALLEY</t>
  </si>
  <si>
    <t>TEMP-516</t>
  </si>
  <si>
    <t>ALHASSAN HILDA</t>
  </si>
  <si>
    <t>TEMP-444</t>
  </si>
  <si>
    <t>MEMUNATU SHAIBU</t>
  </si>
  <si>
    <t>TEMP-459</t>
  </si>
  <si>
    <t>DZIGBEDE GODWIN</t>
  </si>
  <si>
    <t>TEMP-438</t>
  </si>
  <si>
    <t>ANIAGYEI BOSOMPEM PATRICK</t>
  </si>
  <si>
    <t>TEMP-435</t>
  </si>
  <si>
    <t>PRISCILLA ADJETEY</t>
  </si>
  <si>
    <t>TEMP-466</t>
  </si>
  <si>
    <t>MAVIS ASOMANI</t>
  </si>
  <si>
    <t>TEMP-464</t>
  </si>
  <si>
    <t>YASMIN ANKRAH AYELEY</t>
  </si>
  <si>
    <t>TEMP-534</t>
  </si>
  <si>
    <t>STEPHEN NII BOYE OKANG</t>
  </si>
  <si>
    <t>TEMP-448</t>
  </si>
  <si>
    <t>AYISHETU FROKO</t>
  </si>
  <si>
    <t>TEMP-500</t>
  </si>
  <si>
    <t>NAMBAZING MWIN-NUO RUTH</t>
  </si>
  <si>
    <t>TEMP-447</t>
  </si>
  <si>
    <t>NIHAD NDEBUGRI YAHAYA</t>
  </si>
  <si>
    <t>TEMP-419</t>
  </si>
  <si>
    <t>PHYLLIS ABIGAIL GBORSON</t>
  </si>
  <si>
    <t>TEMP-375</t>
  </si>
  <si>
    <t>GLORIA T. NORTEY</t>
  </si>
  <si>
    <t>TEMP-374</t>
  </si>
  <si>
    <t>ALFRED GIDZO KASSAH</t>
  </si>
  <si>
    <t>TEMP-370</t>
  </si>
  <si>
    <t>ISSIFU HAMIDU</t>
  </si>
  <si>
    <t>TEMP-710</t>
  </si>
  <si>
    <t xml:space="preserve">ESTHER ANANG </t>
  </si>
  <si>
    <t>TEMP-898</t>
  </si>
  <si>
    <t>ANTHONY GODSWAY TSRA</t>
  </si>
  <si>
    <t>TEMP-899</t>
  </si>
  <si>
    <t>ROSEMARY KPOGLI CLEMENTINE</t>
  </si>
  <si>
    <t>TEMP-900</t>
  </si>
  <si>
    <t>GERSHON AFRAM</t>
  </si>
  <si>
    <t>TEMP-903</t>
  </si>
  <si>
    <t>WISDOM KWESI NII</t>
  </si>
  <si>
    <t>TEMP-904</t>
  </si>
  <si>
    <t>MASWUDU MUBARAK</t>
  </si>
  <si>
    <t>TEMP-156</t>
  </si>
  <si>
    <t>﻿﻿﻿EDWARD BROWN NII ADOTEI</t>
  </si>
  <si>
    <t>TEMP-154</t>
  </si>
  <si>
    <t>﻿﻿﻿﻿JOSHUA DZAMPAH</t>
  </si>
  <si>
    <t>TEMP-334</t>
  </si>
  <si>
    <t>SAMUEL OWUSU</t>
  </si>
  <si>
    <t>TEMP-149</t>
  </si>
  <si>
    <t>﻿﻿﻿ANIM GYEABUOR PROSPER</t>
  </si>
  <si>
    <t>TEMP-151</t>
  </si>
  <si>
    <t>﻿﻿﻿LAWRENCE LARYEA OKANG</t>
  </si>
  <si>
    <t>TEMP-384</t>
  </si>
  <si>
    <t>ALPHONSO SONNE</t>
  </si>
  <si>
    <t>TEMP-157</t>
  </si>
  <si>
    <t>VICENTA NAA MOMO ARYEE</t>
  </si>
  <si>
    <t>TEMP-150</t>
  </si>
  <si>
    <t>﻿﻿﻿SAMUEL AMOAH</t>
  </si>
  <si>
    <t>TEMP-037</t>
  </si>
  <si>
    <t xml:space="preserve">PHILIP SAI TORGBOR </t>
  </si>
  <si>
    <t>TEMP-373</t>
  </si>
  <si>
    <t>PHILIP ANKRAH</t>
  </si>
  <si>
    <t>TEMP-704</t>
  </si>
  <si>
    <t>GEORGE DWIGHT LUTTERODT</t>
  </si>
  <si>
    <t>TEMP-469</t>
  </si>
  <si>
    <t>CHRISTIAN KOTEY</t>
  </si>
  <si>
    <t>TEMP-152</t>
  </si>
  <si>
    <t>﻿﻿﻿﻿STANLEY ASHIE NEEQUAYE</t>
  </si>
  <si>
    <t>TEMP-473</t>
  </si>
  <si>
    <t>ISAAC DAWSON AMOAH</t>
  </si>
  <si>
    <t>TEMP-146</t>
  </si>
  <si>
    <t>﻿﻿﻿﻿CHARLES BARTELS</t>
  </si>
  <si>
    <t>TEMP-178</t>
  </si>
  <si>
    <t>GABRIEL YAW AGYEMANG</t>
  </si>
  <si>
    <t>TEMP-153</t>
  </si>
  <si>
    <t>EMMANUEL AMPEM SEESI</t>
  </si>
  <si>
    <t>TEMP-050</t>
  </si>
  <si>
    <t>CLAUDIA AKUA ASOR AWUKU</t>
  </si>
  <si>
    <t>TEMP-039</t>
  </si>
  <si>
    <t>CLAUDIA MANEKI TETTEY</t>
  </si>
  <si>
    <t>TEMP-711</t>
  </si>
  <si>
    <t>MOHAMMED IDDRISU</t>
  </si>
  <si>
    <t>TEMP-909</t>
  </si>
  <si>
    <t>IMORO SUMANI</t>
  </si>
  <si>
    <t>TEMP-413</t>
  </si>
  <si>
    <t>SHEILA BAABA KRAMPAH</t>
  </si>
  <si>
    <t>TEMP-424</t>
  </si>
  <si>
    <t>RICHARD ARYEETEY</t>
  </si>
  <si>
    <t>TEMP-441</t>
  </si>
  <si>
    <t>EBENEZER ANNAN</t>
  </si>
  <si>
    <t>TEMP-333</t>
  </si>
  <si>
    <t>ABDULAI HARUNA</t>
  </si>
  <si>
    <t>TEMP-352</t>
  </si>
  <si>
    <t>MBEMA MOHAMMED</t>
  </si>
  <si>
    <t>TEMP-354</t>
  </si>
  <si>
    <t>AMADU LADI</t>
  </si>
  <si>
    <t>TEMP-335</t>
  </si>
  <si>
    <t>ISSAHAKU KIPO</t>
  </si>
  <si>
    <t>TEMP-336</t>
  </si>
  <si>
    <t>EMMANUEL AYIKPA</t>
  </si>
  <si>
    <t>TEMP-357</t>
  </si>
  <si>
    <t>MAHAMA ABDULAI ELVIS</t>
  </si>
  <si>
    <t>TEMP-355</t>
  </si>
  <si>
    <t>BOUGIMETEY TAKYEN ROBERT</t>
  </si>
  <si>
    <t>TEMP-282</t>
  </si>
  <si>
    <t>NAA AYERKIE BONNEY</t>
  </si>
  <si>
    <t>TEMP-372</t>
  </si>
  <si>
    <t>ADAMU LAWAL</t>
  </si>
  <si>
    <t>TEMP-449</t>
  </si>
  <si>
    <t>ALHASSAN MOHAMMED JAMAL</t>
  </si>
  <si>
    <t>TEMP-294</t>
  </si>
  <si>
    <t>SEIDU ABDUL-MATEEN WUMUNAYE</t>
  </si>
  <si>
    <t>TEMP-332</t>
  </si>
  <si>
    <t>SAMUEL MANDELA ZUMA GBEDI</t>
  </si>
  <si>
    <t>TEMP-078</t>
  </si>
  <si>
    <t>RHODALYN MAMLE CHARWETEY</t>
  </si>
  <si>
    <t>TEMP-399</t>
  </si>
  <si>
    <t>MARWAN ABDUL WAHAB</t>
  </si>
  <si>
    <t>TEMP-400</t>
  </si>
  <si>
    <t>YUSSIF MUKARAMA</t>
  </si>
  <si>
    <t>TEMP-401</t>
  </si>
  <si>
    <t>ABDUL RASHID MOHAMMED EMBA</t>
  </si>
  <si>
    <t>TEMP-371</t>
  </si>
  <si>
    <t>ELVIS MAWULI DOSU</t>
  </si>
  <si>
    <t>TEMP-345</t>
  </si>
  <si>
    <t>EGYIRE ASARE</t>
  </si>
  <si>
    <t>TEMP-468</t>
  </si>
  <si>
    <t>EMMANUEL APPIAH FOSU</t>
  </si>
  <si>
    <t>TEMP-365</t>
  </si>
  <si>
    <t>MAXWELL ADDAE</t>
  </si>
  <si>
    <t>TEMP-461</t>
  </si>
  <si>
    <t>BELINDA ABA YAMOAH</t>
  </si>
  <si>
    <t>TEMP-460</t>
  </si>
  <si>
    <t>AJINISAH JULIANA</t>
  </si>
  <si>
    <t>TEMP-395</t>
  </si>
  <si>
    <t>ADJEI KUSI BRIDGET</t>
  </si>
  <si>
    <t>TEMP-064</t>
  </si>
  <si>
    <t>AGBEDZI JOSHUA</t>
  </si>
  <si>
    <t>TEMP-910</t>
  </si>
  <si>
    <t>SHARIFATU KOWULERI YAKUBU</t>
  </si>
  <si>
    <t>TEMP-912</t>
  </si>
  <si>
    <t>ABDUL RAHIM MUNTAKA</t>
  </si>
  <si>
    <t>TEMP-913</t>
  </si>
  <si>
    <t>NAZIFA UMAR</t>
  </si>
  <si>
    <t>TEMP-916</t>
  </si>
  <si>
    <t>EBENEZER NIGINSOR</t>
  </si>
  <si>
    <t>TEMP-917</t>
  </si>
  <si>
    <t>KWABI FRANK</t>
  </si>
  <si>
    <t>SEFWI WIAWSO</t>
  </si>
  <si>
    <t>TEMP-918</t>
  </si>
  <si>
    <t>GYAABENG MARK KWAYIE</t>
  </si>
  <si>
    <t>TEMP-919</t>
  </si>
  <si>
    <t>AHENKORAH KWAKU BAAKO ISAAC</t>
  </si>
  <si>
    <t>TEMP-920</t>
  </si>
  <si>
    <t>NANEKEH FRANCIS</t>
  </si>
  <si>
    <t>AGONA OFFICE</t>
  </si>
  <si>
    <t>TEMP-921</t>
  </si>
  <si>
    <t>ABDUL BAASIT SHAYAWU</t>
  </si>
  <si>
    <t>TEMP-922</t>
  </si>
  <si>
    <t>ELVIS NABIGA</t>
  </si>
  <si>
    <t>TEMP-925</t>
  </si>
  <si>
    <t xml:space="preserve">EMMANUEL PETIAFO </t>
  </si>
  <si>
    <t>TEMP-926</t>
  </si>
  <si>
    <t>TERRY LARWEH CARTENOR</t>
  </si>
  <si>
    <t>TEMP-927</t>
  </si>
  <si>
    <t>EUGENE TERRY JOHNSON</t>
  </si>
  <si>
    <t>TEMP-928</t>
  </si>
  <si>
    <t>PERRY ATTEH CARTENOR</t>
  </si>
  <si>
    <t>TEMP-929</t>
  </si>
  <si>
    <t>RAMATU BAKARI</t>
  </si>
  <si>
    <t>TEMP-930</t>
  </si>
  <si>
    <t>MASAWUDU ALIU</t>
  </si>
  <si>
    <t>TEMP-931</t>
  </si>
  <si>
    <t>RAMATU ISSAKA</t>
  </si>
  <si>
    <t>TEMP-932</t>
  </si>
  <si>
    <t>ABDUL JALAL MOHAMMED</t>
  </si>
  <si>
    <t>TEMP-933</t>
  </si>
  <si>
    <t>ISAAC KWOFIE</t>
  </si>
  <si>
    <t>TEMP-934</t>
  </si>
  <si>
    <t>DZIDZORLI RAYMOND EDEM</t>
  </si>
  <si>
    <t>GREATER ACCRA STORES</t>
  </si>
  <si>
    <t>TEMP-935</t>
  </si>
  <si>
    <t>TOLOKPOE EMMANUEL</t>
  </si>
  <si>
    <t xml:space="preserve">BUEM </t>
  </si>
  <si>
    <t>TEMP-936</t>
  </si>
  <si>
    <t>OFORIWAA CHRISTIANA</t>
  </si>
  <si>
    <t>TEMP-937</t>
  </si>
  <si>
    <t>ABOSSEY EMMANUEL</t>
  </si>
  <si>
    <t>TEMP-938</t>
  </si>
  <si>
    <t>NYAMEKYE PHILIP</t>
  </si>
  <si>
    <t>TEMP-939</t>
  </si>
  <si>
    <t>DANSO JULIUS KWAME</t>
  </si>
  <si>
    <t>TEMP-940</t>
  </si>
  <si>
    <t>PETER KOKROKO</t>
  </si>
  <si>
    <t>TEMP-941</t>
  </si>
  <si>
    <t>MENSAH MICHAEL</t>
  </si>
  <si>
    <t>TEMP-942</t>
  </si>
  <si>
    <t>KINGSLEY KWAME AKAKPO</t>
  </si>
  <si>
    <t>TEMP-943</t>
  </si>
  <si>
    <t>LAILA NASIRU</t>
  </si>
  <si>
    <t>TEMP-944</t>
  </si>
  <si>
    <t>BELINDA MAAME AFIA A. DEI</t>
  </si>
  <si>
    <t>TEMP-945</t>
  </si>
  <si>
    <t>YAYRA WILSONA KAISER</t>
  </si>
  <si>
    <t>TEMP-946</t>
  </si>
  <si>
    <t>MAVIS EGYIR</t>
  </si>
  <si>
    <t>TEMP-123</t>
  </si>
  <si>
    <t>BERNARD AGYAKWA</t>
  </si>
  <si>
    <t>TEMP-125</t>
  </si>
  <si>
    <t>ENOCH ABBEY SHAMO</t>
  </si>
  <si>
    <t>TEMP-193</t>
  </si>
  <si>
    <t>AGBAUITOR LOUIS</t>
  </si>
  <si>
    <t>TEMP-194</t>
  </si>
  <si>
    <t>ELIAS GATEY</t>
  </si>
  <si>
    <t>TEMP-527</t>
  </si>
  <si>
    <t>NTI AGYEMANG PATIENCE</t>
  </si>
  <si>
    <t>TEMP-443</t>
  </si>
  <si>
    <t>SALIM YAKUBU AHMED</t>
  </si>
  <si>
    <t>TEMP-446</t>
  </si>
  <si>
    <t>BONIFACE NYIME-BAARE</t>
  </si>
  <si>
    <t>TEMP-685</t>
  </si>
  <si>
    <t>LINFORD BAFFOE</t>
  </si>
  <si>
    <t>TEMP-381</t>
  </si>
  <si>
    <t>PERPETUAL OKLU</t>
  </si>
  <si>
    <t>TEMP-380</t>
  </si>
  <si>
    <t>TERNYSON KWABLAH ATTIPOE</t>
  </si>
  <si>
    <t>TEMP-437</t>
  </si>
  <si>
    <t>ODONKOR BERNARD</t>
  </si>
  <si>
    <t>TEMP-599</t>
  </si>
  <si>
    <t>ISAAC ADOM</t>
  </si>
  <si>
    <t>TEMP-394</t>
  </si>
  <si>
    <t>EMMANUELLA OWUSU</t>
  </si>
  <si>
    <t>TEMP-652</t>
  </si>
  <si>
    <t>PRECIOUS ABENA FRIMPONG</t>
  </si>
  <si>
    <t>TEMP-423</t>
  </si>
  <si>
    <t>SAMUEL ADDO</t>
  </si>
  <si>
    <t>TEMP-425</t>
  </si>
  <si>
    <t>MOSES PERCY NII AWULEY ASHONG</t>
  </si>
  <si>
    <t>TEMP-439</t>
  </si>
  <si>
    <t>AGYEBENG LYDIA POKUAA</t>
  </si>
  <si>
    <t>TEMP-478</t>
  </si>
  <si>
    <t>EBENEZER QUARTEY</t>
  </si>
  <si>
    <t>TEMP-492</t>
  </si>
  <si>
    <t>EVELYN ELINAM GBEDEMAH</t>
  </si>
  <si>
    <t>TEMP-493</t>
  </si>
  <si>
    <t>LOVE YAA OKYERE-HAYFORD</t>
  </si>
  <si>
    <t>TEMP-494</t>
  </si>
  <si>
    <t>VIDA ANNOR AGYEKUM</t>
  </si>
  <si>
    <t>TEMP-513</t>
  </si>
  <si>
    <t>IBRAHIM ABDULAI</t>
  </si>
  <si>
    <t>TEMP-022</t>
  </si>
  <si>
    <t>MARIAM MOHAMMED</t>
  </si>
  <si>
    <t>TEMP-471</t>
  </si>
  <si>
    <t>SHAIBU JAMAL</t>
  </si>
  <si>
    <t>TEMP-470</t>
  </si>
  <si>
    <t>ABDUL-MALIK MUNKAILA</t>
  </si>
  <si>
    <t>TEMP-417</t>
  </si>
  <si>
    <t>HAMIDATU MOHAMMED</t>
  </si>
  <si>
    <t>TEMP-454</t>
  </si>
  <si>
    <t>SANDOW NAPARI MOHAMMED</t>
  </si>
  <si>
    <t>TEMP-299</t>
  </si>
  <si>
    <t>ISAAC HERBERT PAA KOBINA ANKUMA</t>
  </si>
  <si>
    <t>TEMP-566</t>
  </si>
  <si>
    <t>KYEI JEFFEREY</t>
  </si>
  <si>
    <t>BECHEM OFFICE</t>
  </si>
  <si>
    <t>TEMP-568</t>
  </si>
  <si>
    <t>ELVIS BEDIAKO APPAU</t>
  </si>
  <si>
    <t>TEMP-570</t>
  </si>
  <si>
    <t>JOHN NGUAH WILSON</t>
  </si>
  <si>
    <t>TEMP-573</t>
  </si>
  <si>
    <t>MUSAH SENYA</t>
  </si>
  <si>
    <t>TEMP-571</t>
  </si>
  <si>
    <t>ASIBUO RANSFORD</t>
  </si>
  <si>
    <t>TEMP-574</t>
  </si>
  <si>
    <t>OBIRI YEBOAH JEFF</t>
  </si>
  <si>
    <t>TEMP-579</t>
  </si>
  <si>
    <t>OSEI OWUSU FRANK</t>
  </si>
  <si>
    <t>TEMP-575</t>
  </si>
  <si>
    <t>VIDA ASIEDUWAA</t>
  </si>
  <si>
    <t>TEMP-576</t>
  </si>
  <si>
    <t>ISSAKA SIREENA</t>
  </si>
  <si>
    <t>TEMP-577</t>
  </si>
  <si>
    <t>FATI IBRAHIM</t>
  </si>
  <si>
    <t>TEMP-578</t>
  </si>
  <si>
    <t>REBECCA KWOFFIE</t>
  </si>
  <si>
    <t>TEMP-680</t>
  </si>
  <si>
    <t>ESSUMAN GIFTY</t>
  </si>
  <si>
    <t>TEMP-358</t>
  </si>
  <si>
    <t>MAHAMA ISHMAEL</t>
  </si>
  <si>
    <t>TEMP-592</t>
  </si>
  <si>
    <t>AGYEMANG KWASI BEDIAKO</t>
  </si>
  <si>
    <t>DORMAA AHENKRO</t>
  </si>
  <si>
    <t>TEMP-598</t>
  </si>
  <si>
    <t>AYISHETU ZAKARIA</t>
  </si>
  <si>
    <t>TEMP-635</t>
  </si>
  <si>
    <t>ANAKWA IBRAHIM ANAS</t>
  </si>
  <si>
    <t>TEMP-636</t>
  </si>
  <si>
    <t>AKLIE LIVINGSTONE</t>
  </si>
  <si>
    <t>TEMP-637</t>
  </si>
  <si>
    <t>AGBESI MATTHEW</t>
  </si>
  <si>
    <t>TEMP-638</t>
  </si>
  <si>
    <t>ADEDEME PEARL DELALI</t>
  </si>
  <si>
    <t>TEMP-639</t>
  </si>
  <si>
    <t>NYAGAMANGU E. MARVIN</t>
  </si>
  <si>
    <t>TEMP-202</t>
  </si>
  <si>
    <t>GISELA JOANA ABLA ATI</t>
  </si>
  <si>
    <t>TEMP-675</t>
  </si>
  <si>
    <t>COLLINS AGYEKUM</t>
  </si>
  <si>
    <t>TEMP-369</t>
  </si>
  <si>
    <t>MAVIS POMAH</t>
  </si>
  <si>
    <t>TEMP-622</t>
  </si>
  <si>
    <t>AWO SAKYIWAA AMANKWATIA</t>
  </si>
  <si>
    <t>TEMP-367</t>
  </si>
  <si>
    <t>NEILS HESSE</t>
  </si>
  <si>
    <t>TEMP-007</t>
  </si>
  <si>
    <t>AUDREY AMOAKO AFRIYIE</t>
  </si>
  <si>
    <t>TEMP-016</t>
  </si>
  <si>
    <t>MUNIRATU SALIMAN</t>
  </si>
  <si>
    <t>TEMP-540</t>
  </si>
  <si>
    <t>NORBERT KWASHIGAH</t>
  </si>
  <si>
    <t>TEMP-624</t>
  </si>
  <si>
    <t>DUFIE BAAH</t>
  </si>
  <si>
    <t>TEMP-009</t>
  </si>
  <si>
    <t>KHADIJATU SAEED</t>
  </si>
  <si>
    <t>TEMP-517</t>
  </si>
  <si>
    <t>FA-IKA SALE MOHAMMED</t>
  </si>
  <si>
    <t>TEMP-519</t>
  </si>
  <si>
    <t>ANGELA TABUAA</t>
  </si>
  <si>
    <t>TEMP-520</t>
  </si>
  <si>
    <t>SULEMANA HALIDU</t>
  </si>
  <si>
    <t>TEMP-325</t>
  </si>
  <si>
    <t>JONAS BAAH</t>
  </si>
  <si>
    <t>TEMP-327</t>
  </si>
  <si>
    <t>CHRISTIAN ESSAH DADZIE</t>
  </si>
  <si>
    <t>TEMP-326</t>
  </si>
  <si>
    <t>KINGSLEY BELOVED PEDRO</t>
  </si>
  <si>
    <t>TEMP-455</t>
  </si>
  <si>
    <t>SAMUEL BAWA</t>
  </si>
  <si>
    <t>TEMP-525</t>
  </si>
  <si>
    <t>KWAKU BOATENG NKRUMAH</t>
  </si>
  <si>
    <t>TEMP-330</t>
  </si>
  <si>
    <t>EDEM AMAGLO</t>
  </si>
  <si>
    <t>TEMP-329</t>
  </si>
  <si>
    <t>PRINCE AMOAH KOBBY</t>
  </si>
  <si>
    <t>TEMP-166</t>
  </si>
  <si>
    <t>CARL DELADEM NUWORSU</t>
  </si>
  <si>
    <t>HEAD OFFICE LEGAL</t>
  </si>
  <si>
    <t>TEMP-901</t>
  </si>
  <si>
    <t>GHULAM DAVIES</t>
  </si>
  <si>
    <t>TEMP-364</t>
  </si>
  <si>
    <t>DEBORAH ETORNAM ASODJI</t>
  </si>
  <si>
    <t>TEMP-396</t>
  </si>
  <si>
    <t>ANING NANA TUMTUO KESSE</t>
  </si>
  <si>
    <t>TEMP-071</t>
  </si>
  <si>
    <t>ALI DANJUMAH IBRAHIM</t>
  </si>
  <si>
    <t>BOLGATANGA</t>
  </si>
  <si>
    <t>TEMP-389</t>
  </si>
  <si>
    <t>PATRICK AYINE AZAGBIRE</t>
  </si>
  <si>
    <t>TEMP-218</t>
  </si>
  <si>
    <t>BRAIMAH KAMALDEEN</t>
  </si>
  <si>
    <t>TEMP-546</t>
  </si>
  <si>
    <t>ATIAH AGANEBA NORBERT</t>
  </si>
  <si>
    <t>TEMP-643</t>
  </si>
  <si>
    <t>YAHATASU SAPPOR YAKUBU</t>
  </si>
  <si>
    <t>TEMP-644</t>
  </si>
  <si>
    <t>PRINCE AMEDZORKU</t>
  </si>
  <si>
    <t>TEMP-645</t>
  </si>
  <si>
    <t>WAALID SULEY ABDUL-RAZAK</t>
  </si>
  <si>
    <t>TEMP-646</t>
  </si>
  <si>
    <t>ZOGLI SIEGFRIED KWASI</t>
  </si>
  <si>
    <t>TEMP-709</t>
  </si>
  <si>
    <t>DABBAH RICHARD KOMLA</t>
  </si>
  <si>
    <t>TEMP 251</t>
  </si>
  <si>
    <t>REBECCA ENYO DEKU</t>
  </si>
  <si>
    <t>TEMP-385</t>
  </si>
  <si>
    <t>GIFTY BOSAH</t>
  </si>
  <si>
    <t>TEMP-950</t>
  </si>
  <si>
    <t>ADIZA DAUD</t>
  </si>
  <si>
    <t>TEMP-029</t>
  </si>
  <si>
    <t>RACHEAL KWEKIE KWEATEY</t>
  </si>
  <si>
    <t>TEMP-924</t>
  </si>
  <si>
    <t>DUMEHASI DANIEL</t>
  </si>
  <si>
    <t>TEMP-386</t>
  </si>
  <si>
    <t>ABDUL AZIZ HASSAN</t>
  </si>
  <si>
    <t>TEMP-947</t>
  </si>
  <si>
    <t>SAMUEL ADDAI</t>
  </si>
  <si>
    <t xml:space="preserve">KASOA </t>
  </si>
  <si>
    <t>TEMP-948</t>
  </si>
  <si>
    <t>AYI BONTE REYNOLDS</t>
  </si>
  <si>
    <t>TEMP-949</t>
  </si>
  <si>
    <t>RASHID LIADI</t>
  </si>
  <si>
    <t>TEMP-951</t>
  </si>
  <si>
    <t>HAUSATU SANNI</t>
  </si>
  <si>
    <t>TEMP-952</t>
  </si>
  <si>
    <t>AMADU B. SALIMATU</t>
  </si>
  <si>
    <t>TEMP-953</t>
  </si>
  <si>
    <t>DAVID ODONKOR</t>
  </si>
  <si>
    <t>TEMP-954</t>
  </si>
  <si>
    <t>HAMIDA ALI PELPUO</t>
  </si>
  <si>
    <t>TEMP-956</t>
  </si>
  <si>
    <t>ANITA MENSAH</t>
  </si>
  <si>
    <t>TEMP-957</t>
  </si>
  <si>
    <t>PRINCE AWUAH</t>
  </si>
  <si>
    <t>TEMP-958</t>
  </si>
  <si>
    <t>NICHOLAS ANTWI KOJO</t>
  </si>
  <si>
    <t>TEMP-959</t>
  </si>
  <si>
    <t>ALIKALI PELPUO ALIMATU</t>
  </si>
  <si>
    <t>TEMP-960</t>
  </si>
  <si>
    <t>ISAAC ALLOTEY</t>
  </si>
  <si>
    <t>TEMP-961</t>
  </si>
  <si>
    <t>GRACE ANANI</t>
  </si>
  <si>
    <t>TEMP-962</t>
  </si>
  <si>
    <t>STEPHEN YIRENKYI</t>
  </si>
  <si>
    <t>TEMP-963</t>
  </si>
  <si>
    <t>PROSPER AVORNYO OCANSEY</t>
  </si>
  <si>
    <t>TEMP-964</t>
  </si>
  <si>
    <t>ELIKEM KWAKU WUNAKE</t>
  </si>
  <si>
    <t>TEMP-965</t>
  </si>
  <si>
    <t>ISAAC OPOKU AMPEH</t>
  </si>
  <si>
    <t>TEMP-966</t>
  </si>
  <si>
    <t>KODOM STEPHEN</t>
  </si>
  <si>
    <t>TEMP-967</t>
  </si>
  <si>
    <t>DAVID QUAMI ACHEAMPONG</t>
  </si>
  <si>
    <t>ASHAIMAN</t>
  </si>
  <si>
    <t>TEMP-968</t>
  </si>
  <si>
    <t>GOODNESS ENAM VORLEDZI</t>
  </si>
  <si>
    <t>TEMP-969</t>
  </si>
  <si>
    <t>AMETAME FRANCIS</t>
  </si>
  <si>
    <t>TEMP-972</t>
  </si>
  <si>
    <t>AWABIGO NEHEMIAH</t>
  </si>
  <si>
    <t>TEMP-973</t>
  </si>
  <si>
    <t>AMIDU ABDUL LATIF</t>
  </si>
  <si>
    <t>TEMP-975</t>
  </si>
  <si>
    <t>ALHASSAN ZAKARIA</t>
  </si>
  <si>
    <t>TEMP-977</t>
  </si>
  <si>
    <t>STEPHEN OSEI</t>
  </si>
  <si>
    <t>TEMP-783</t>
  </si>
  <si>
    <t>EDWARD ARYEE ARYEETEY</t>
  </si>
  <si>
    <t>TEMP-046</t>
  </si>
  <si>
    <t>BENEDICTA WIREDU ADARKWA</t>
  </si>
  <si>
    <t>TEMP-059</t>
  </si>
  <si>
    <t>PHYLLIS TETTEH COLE</t>
  </si>
  <si>
    <t>TEMP-060</t>
  </si>
  <si>
    <t>NANA KWAME OFORI ATTA ASANTE</t>
  </si>
  <si>
    <t>TEMP- 015</t>
  </si>
  <si>
    <t>ADOM NAA NORLEY PHOEBE</t>
  </si>
  <si>
    <t>TEMP-221</t>
  </si>
  <si>
    <t>ALBERTA YEBOAH</t>
  </si>
  <si>
    <t>TEMP-232</t>
  </si>
  <si>
    <t>KARIM ALARU</t>
  </si>
  <si>
    <t>TEMP-230</t>
  </si>
  <si>
    <t xml:space="preserve">GIDEON ADUSE POKU </t>
  </si>
  <si>
    <t>TEMP-231</t>
  </si>
  <si>
    <t>MARY SEFAA</t>
  </si>
  <si>
    <t>TEMP-224</t>
  </si>
  <si>
    <t>MAYBEL WENDY MOSHO AKPENE</t>
  </si>
  <si>
    <t>TEMP-226</t>
  </si>
  <si>
    <t>RICHARD NKWANYANA</t>
  </si>
  <si>
    <t>TEMP-228</t>
  </si>
  <si>
    <t>SARPONG RICHARD</t>
  </si>
  <si>
    <t>TEMP-227</t>
  </si>
  <si>
    <t>RICHMOND ADDO BOATENG</t>
  </si>
  <si>
    <t>TEMP-993</t>
  </si>
  <si>
    <t>ALFRED GYAN KWABENA</t>
  </si>
  <si>
    <t>TEMP-618</t>
  </si>
  <si>
    <t>CLEMENT ANKAMAH</t>
  </si>
  <si>
    <t>TEMP-619</t>
  </si>
  <si>
    <t>ESTHER ASIMA</t>
  </si>
  <si>
    <t>TEMP-730</t>
  </si>
  <si>
    <t>KWASI AMO-BADU</t>
  </si>
  <si>
    <t>TEMP-620</t>
  </si>
  <si>
    <t>MAVIS AGYAPOMAA</t>
  </si>
  <si>
    <t>TEMP-432</t>
  </si>
  <si>
    <t>JONATHAN VAN-DYCK</t>
  </si>
  <si>
    <t>TEMP-994</t>
  </si>
  <si>
    <t>ASAMPA SHALOM KAFUI</t>
  </si>
  <si>
    <t>TEMP-521</t>
  </si>
  <si>
    <t>ANITA DANGNITENG</t>
  </si>
  <si>
    <t>TEMP-522</t>
  </si>
  <si>
    <t>ESTHER OWUSU ACHEAMPONG</t>
  </si>
  <si>
    <t>TEMP-524</t>
  </si>
  <si>
    <t>ISHAQ BABA SULEMANE</t>
  </si>
  <si>
    <t>TEMP-550</t>
  </si>
  <si>
    <t>HASHIRU SHAIBU</t>
  </si>
  <si>
    <t>AKWATIA OFFICE</t>
  </si>
  <si>
    <t>TEMP-551</t>
  </si>
  <si>
    <t>CHRISTIANA MAWUENA</t>
  </si>
  <si>
    <t>TEMP-552</t>
  </si>
  <si>
    <t>STEPHEN AYEH</t>
  </si>
  <si>
    <t>TEMP-553</t>
  </si>
  <si>
    <t>YAHAYA MUNTARI WUZEIFA</t>
  </si>
  <si>
    <t>TEMP-554</t>
  </si>
  <si>
    <t>FREDERICK ANNOR</t>
  </si>
  <si>
    <t>TEMP-555</t>
  </si>
  <si>
    <t>CLINTON OWIREDU APPIAH</t>
  </si>
  <si>
    <t>TEMP-556</t>
  </si>
  <si>
    <t>IBRAHIM ANASS</t>
  </si>
  <si>
    <t>TEMP-557</t>
  </si>
  <si>
    <t>PRISCILLA SHIELEY MENSAH</t>
  </si>
  <si>
    <t>TEMP-558</t>
  </si>
  <si>
    <t>RUTH OHENE SAKYIBEA</t>
  </si>
  <si>
    <t>TEMP-559</t>
  </si>
  <si>
    <t>MENSAH BOATENG JOSEPHINE</t>
  </si>
  <si>
    <t>TEMP-560</t>
  </si>
  <si>
    <t>BENJAMIN TETTEH</t>
  </si>
  <si>
    <t>TEMP-584</t>
  </si>
  <si>
    <t>ASAMOAH FRANCISCA</t>
  </si>
  <si>
    <t>TEMP-585</t>
  </si>
  <si>
    <t>AMPONSAH PRINCESS</t>
  </si>
  <si>
    <t>TEMP-586</t>
  </si>
  <si>
    <t>ADOMAH GORDON</t>
  </si>
  <si>
    <t>TEMP-587</t>
  </si>
  <si>
    <t>KUMI EVANS</t>
  </si>
  <si>
    <t>TEMP-588</t>
  </si>
  <si>
    <t>THERESA KYEREMAA</t>
  </si>
  <si>
    <t>TEMP-589</t>
  </si>
  <si>
    <t>ADOMAH BAFFOUR ALFRED SENIOR</t>
  </si>
  <si>
    <t>TEMP-596</t>
  </si>
  <si>
    <t>OWUSUAA LISTOWELLA</t>
  </si>
  <si>
    <t>TEMP-597</t>
  </si>
  <si>
    <t>JOANA ASANTEWAA</t>
  </si>
  <si>
    <t>TEMP-595</t>
  </si>
  <si>
    <t>MORO MAMUDU</t>
  </si>
  <si>
    <t>TEMP-660</t>
  </si>
  <si>
    <t>JAMES MOCHIA</t>
  </si>
  <si>
    <t>TEMP-663</t>
  </si>
  <si>
    <t>JULIANA EFFAH</t>
  </si>
  <si>
    <t>TEMP-204</t>
  </si>
  <si>
    <t>APPIAH STEPHEN</t>
  </si>
  <si>
    <t>TEMP-611</t>
  </si>
  <si>
    <t>AMADU ASIMI</t>
  </si>
  <si>
    <t>TEMP-667</t>
  </si>
  <si>
    <t>BAKULI LUKMAN</t>
  </si>
  <si>
    <t>TEMP-499</t>
  </si>
  <si>
    <t>OSMAN ABDULAI JAWARD</t>
  </si>
  <si>
    <t>TEMP-216</t>
  </si>
  <si>
    <t>EMMANUEL DADZIE</t>
  </si>
  <si>
    <t>TEMP-393</t>
  </si>
  <si>
    <t>ERNEST MENSAH-KANE</t>
  </si>
  <si>
    <t>TEMP-602</t>
  </si>
  <si>
    <t>DANIEL ENTIH AFEDZIE</t>
  </si>
  <si>
    <t>TEMP-648</t>
  </si>
  <si>
    <t>SYDNEY KOFI ADDAE</t>
  </si>
  <si>
    <t>TEMP-651</t>
  </si>
  <si>
    <t>THEOMARK JOSHUA ARYEETEY</t>
  </si>
  <si>
    <t>TEMP-717</t>
  </si>
  <si>
    <t>GLORIA KUTORKOR KOTEY</t>
  </si>
  <si>
    <t>TEMP-456</t>
  </si>
  <si>
    <t>RUTH ANTWIWAA</t>
  </si>
  <si>
    <t>TEMP-672</t>
  </si>
  <si>
    <t>PRECIOUS CANN NYAMEKYE</t>
  </si>
  <si>
    <t>TEMP-673</t>
  </si>
  <si>
    <t>RAMATU TOSENYA</t>
  </si>
  <si>
    <t>TEMP-674</t>
  </si>
  <si>
    <t>FRANK SARFO ADU</t>
  </si>
  <si>
    <t>TEMP-784</t>
  </si>
  <si>
    <t>GIFTY OFORIWA ADOM</t>
  </si>
  <si>
    <t>TEMP-839</t>
  </si>
  <si>
    <t>OTIS KOBI ADDAE</t>
  </si>
  <si>
    <t>TEMP-191</t>
  </si>
  <si>
    <t>BELINDA GAKPEY</t>
  </si>
  <si>
    <t>TEMP-192</t>
  </si>
  <si>
    <t>STEPHEN AMPOFO</t>
  </si>
  <si>
    <t>TEMP-772</t>
  </si>
  <si>
    <t>MARIAM SEIDU</t>
  </si>
  <si>
    <t>TEMP-067</t>
  </si>
  <si>
    <t>MARIAM ABUBAKARI</t>
  </si>
  <si>
    <t>TEMP-487</t>
  </si>
  <si>
    <t>SOLOMON MOAKIBA</t>
  </si>
  <si>
    <t>TEMP-094</t>
  </si>
  <si>
    <t>GBELE PRINCE</t>
  </si>
  <si>
    <t>GOASO OFFICE</t>
  </si>
  <si>
    <t>TEMP-077</t>
  </si>
  <si>
    <t>RAPHAEL NEEQUAYE</t>
  </si>
  <si>
    <t>TEMP-283</t>
  </si>
  <si>
    <t>BENJAMIN TAGOE</t>
  </si>
  <si>
    <t>TEMP-165</t>
  </si>
  <si>
    <t>GODWIN AGBEVE</t>
  </si>
  <si>
    <t>TEMP-692</t>
  </si>
  <si>
    <t>ZAINAM SA-AD</t>
  </si>
  <si>
    <t>TEMP-693</t>
  </si>
  <si>
    <t>SARAH AMENYOWU</t>
  </si>
  <si>
    <t>TEMP-699</t>
  </si>
  <si>
    <t>CHARLOTTE EMEFA AKOGYERAM</t>
  </si>
  <si>
    <t>TEMP-378</t>
  </si>
  <si>
    <t>HAPPY AKORLI</t>
  </si>
  <si>
    <t>TEMP-701</t>
  </si>
  <si>
    <t>PERPETUAL DIDIER</t>
  </si>
  <si>
    <t>TEMP-047</t>
  </si>
  <si>
    <t>JULIET LARBI</t>
  </si>
  <si>
    <t>TEMP-048</t>
  </si>
  <si>
    <t>JUDITH LARBI</t>
  </si>
  <si>
    <t>TEMP-131</t>
  </si>
  <si>
    <t>KOFI KORANKYE YEBOAH</t>
  </si>
  <si>
    <t>TERT DRIVE</t>
  </si>
  <si>
    <t>TEMP-978</t>
  </si>
  <si>
    <t>JEREMIAH ELIKPLIM DARKU</t>
  </si>
  <si>
    <t>TEMP-979</t>
  </si>
  <si>
    <t>EMMANUEL ENNIN</t>
  </si>
  <si>
    <t>TEMP-980</t>
  </si>
  <si>
    <t>BESTY BAIDEN</t>
  </si>
  <si>
    <t>TEMP-981</t>
  </si>
  <si>
    <t>BRIGHT FIIFI BONZIE</t>
  </si>
  <si>
    <t>TEMP-982</t>
  </si>
  <si>
    <t>ABA TEKYIWA EPHRAIM</t>
  </si>
  <si>
    <t>TEMP-984</t>
  </si>
  <si>
    <t>LYDIA MENSAH</t>
  </si>
  <si>
    <t>TEMP-985</t>
  </si>
  <si>
    <t>FELICIA ANNAMA MBA</t>
  </si>
  <si>
    <t>TEMP-986</t>
  </si>
  <si>
    <t>GLORIA MENSIMA BINEY</t>
  </si>
  <si>
    <t>TEMP-987</t>
  </si>
  <si>
    <t>DAKEKU WILHEMINA NANA AKUA MAWUENAM</t>
  </si>
  <si>
    <t>TEMP-988</t>
  </si>
  <si>
    <t>BERNICE ADJO OYEH</t>
  </si>
  <si>
    <t>TEMP-989</t>
  </si>
  <si>
    <t>RACHEAL BAABA ANAMUAH</t>
  </si>
  <si>
    <t>TEMP-990</t>
  </si>
  <si>
    <t>JAMES APOMASU</t>
  </si>
  <si>
    <t>TEMP-991</t>
  </si>
  <si>
    <t>KELVIN SARKODIE</t>
  </si>
  <si>
    <t>TEMP-992</t>
  </si>
  <si>
    <t>MONICA SMITH ABBEY</t>
  </si>
  <si>
    <t>TEMP-421</t>
  </si>
  <si>
    <t>SALLIM ADAM</t>
  </si>
  <si>
    <t>TEMP-735</t>
  </si>
  <si>
    <t>DOKUMAH AFENYO</t>
  </si>
  <si>
    <t>NORTH DAYI</t>
  </si>
  <si>
    <t>TEMP-736</t>
  </si>
  <si>
    <t>ZEH NANCY</t>
  </si>
  <si>
    <t>TEMP-737</t>
  </si>
  <si>
    <t>ADU RAPHAEL KELIS KOFI</t>
  </si>
  <si>
    <t>TEMP-738</t>
  </si>
  <si>
    <t>ATTAH KWASHIE FELICIA ELIZABETH</t>
  </si>
  <si>
    <t>TEMP-740</t>
  </si>
  <si>
    <t>GAMLI VINCENT</t>
  </si>
  <si>
    <t>TEMP-741</t>
  </si>
  <si>
    <t>BOTSYOE WORLANYO YAO SAMUEL</t>
  </si>
  <si>
    <t>TEMP-742</t>
  </si>
  <si>
    <t>KUMAH ANTHONY</t>
  </si>
  <si>
    <t>TEMP-743</t>
  </si>
  <si>
    <t>NANI KINGSLEY MATTHEW</t>
  </si>
  <si>
    <t>TEMP-745</t>
  </si>
  <si>
    <t>EDEGBE ROSEMOND</t>
  </si>
  <si>
    <t>TEMP-746</t>
  </si>
  <si>
    <t>AGBENU KOMLA HARRISON</t>
  </si>
  <si>
    <t>TEMP-747</t>
  </si>
  <si>
    <t>BUADI PRINCE</t>
  </si>
  <si>
    <t>TEMP-748</t>
  </si>
  <si>
    <t>DENUTSUI QUIST EMMANUEL</t>
  </si>
  <si>
    <t>TEMP-749</t>
  </si>
  <si>
    <t>AMEDEKANYA SAMPSON</t>
  </si>
  <si>
    <t>TEMP-792</t>
  </si>
  <si>
    <t>EARL SAKYI-AKOMEAH ODOI</t>
  </si>
  <si>
    <t>TEMP-793</t>
  </si>
  <si>
    <t>KWABENA ODURO DARKWAH</t>
  </si>
  <si>
    <t>TEMP-362</t>
  </si>
  <si>
    <t>OSEI YEBOAH BRIGHT</t>
  </si>
  <si>
    <t>TEMP-955</t>
  </si>
  <si>
    <t>BENJAMIN KOFI TWUMASI</t>
  </si>
  <si>
    <t>TEMP-971</t>
  </si>
  <si>
    <t>BAWUAH NASIR SUNNAH</t>
  </si>
  <si>
    <t>TEMP-974</t>
  </si>
  <si>
    <t>JONAS KOBLAH</t>
  </si>
  <si>
    <t>TEMP-976</t>
  </si>
  <si>
    <t>MOSES KENNEDY AKOLOGO</t>
  </si>
  <si>
    <t>TEMP-725</t>
  </si>
  <si>
    <t>TRACY NANA AMA NYAMEWAA APPIAH</t>
  </si>
  <si>
    <t>TEMP-671</t>
  </si>
  <si>
    <t>GEORGE OFORI NYARKO JNR</t>
  </si>
  <si>
    <t>TEMP-089</t>
  </si>
  <si>
    <t>MICHAELINA ARABA ANSAH</t>
  </si>
  <si>
    <t>TEMP-827</t>
  </si>
  <si>
    <t>EBENEZER ASARE</t>
  </si>
  <si>
    <t>BEKWAI</t>
  </si>
  <si>
    <t>TEMP-562</t>
  </si>
  <si>
    <t>CLEMENT MARFO</t>
  </si>
  <si>
    <t>TEMP-564</t>
  </si>
  <si>
    <t>ANDELON ACQUAH DERRICK</t>
  </si>
  <si>
    <t>TEMP-565</t>
  </si>
  <si>
    <t>ANKOMA MINTAH PATRICIA</t>
  </si>
  <si>
    <t>TEMP-567</t>
  </si>
  <si>
    <t>OSEI BONSU GIDEON</t>
  </si>
  <si>
    <t>TEMP-572</t>
  </si>
  <si>
    <t>LAWRENCE AWORO BAAFI</t>
  </si>
  <si>
    <t>TEMP-679</t>
  </si>
  <si>
    <t>ADAMU BUKARI</t>
  </si>
  <si>
    <t>TEMP-811</t>
  </si>
  <si>
    <t>COLLINS AKUAMOAH BOATENG</t>
  </si>
  <si>
    <t>TEMP-852</t>
  </si>
  <si>
    <t>ENOCH NANA BAFFOUR DOGBAG</t>
  </si>
  <si>
    <t>TEMP-052</t>
  </si>
  <si>
    <t>MAVIS OFORI</t>
  </si>
  <si>
    <t>TEMP-760</t>
  </si>
  <si>
    <t>BENJAMIN ADAMS</t>
  </si>
  <si>
    <t>TEMP-765</t>
  </si>
  <si>
    <t>IRENE K. KUAGBEDZI</t>
  </si>
  <si>
    <t>TEMP-768</t>
  </si>
  <si>
    <t>RICHARD BOACHIE YIADOM</t>
  </si>
  <si>
    <t>TEMP-769</t>
  </si>
  <si>
    <t>SYDNEY MENSAH</t>
  </si>
  <si>
    <t>TEMP-762</t>
  </si>
  <si>
    <t>ERICA NAA DARKU ADDISON</t>
  </si>
  <si>
    <t>TEMP-474</t>
  </si>
  <si>
    <t>WILLIAM ATSU TUODIABOR</t>
  </si>
  <si>
    <t>TEMP-113</t>
  </si>
  <si>
    <t>AGNES MARFOWAA SARFO</t>
  </si>
  <si>
    <t>TEMP-312</t>
  </si>
  <si>
    <t>FRANK ODJIDJA</t>
  </si>
  <si>
    <t>TEMP-251</t>
  </si>
  <si>
    <t>SAAKA DRAMANI</t>
  </si>
  <si>
    <t>TEMP-351</t>
  </si>
  <si>
    <t>SALU IBRAHIM</t>
  </si>
  <si>
    <t>TEMP-561</t>
  </si>
  <si>
    <t>DWOMOH EMMANUEL</t>
  </si>
  <si>
    <t>TEMP-097</t>
  </si>
  <si>
    <t>YAKUBU ISSAH</t>
  </si>
  <si>
    <t>TEMP-025</t>
  </si>
  <si>
    <t>EBENEZER SMITH</t>
  </si>
  <si>
    <t>TEMP-376</t>
  </si>
  <si>
    <t>AISHA ELIAS MONIE</t>
  </si>
  <si>
    <t>TEMP-878</t>
  </si>
  <si>
    <t>UBAIDA AHMED ZAKARIA</t>
  </si>
  <si>
    <t>TEMP-428</t>
  </si>
  <si>
    <t>DEBORAH AMA AGBOZO</t>
  </si>
  <si>
    <t>TEMP-591</t>
  </si>
  <si>
    <t>ROBERT NUGENT COFIE</t>
  </si>
  <si>
    <t>TEMP-590</t>
  </si>
  <si>
    <t>OSEI KWADWO MICHAEL</t>
  </si>
  <si>
    <t>TEMP-324</t>
  </si>
  <si>
    <t>ADAMS SUMAILA ISHMAEL</t>
  </si>
  <si>
    <t>WENCHI OFFICE</t>
  </si>
  <si>
    <t>TEMP-295</t>
  </si>
  <si>
    <t>TANIRA GBOLO NUHU</t>
  </si>
  <si>
    <t>TEMP-830</t>
  </si>
  <si>
    <t>RICHARD WABLA ETSEY</t>
  </si>
  <si>
    <t>TEMP-279</t>
  </si>
  <si>
    <t>KWAKU SARKODIE ASANTE</t>
  </si>
  <si>
    <t>TEMP-798</t>
  </si>
  <si>
    <t>MARIAM OTOO</t>
  </si>
  <si>
    <t>TEMP-799</t>
  </si>
  <si>
    <t>KENNETH NANA ANOKYE AIDOO</t>
  </si>
  <si>
    <t>TEMP-835</t>
  </si>
  <si>
    <t>PRISCILLA BOADIWAA KYEI</t>
  </si>
  <si>
    <t>TEMP-836</t>
  </si>
  <si>
    <t>WAHEED NII DARKU DODOO</t>
  </si>
  <si>
    <t>TEMP-837</t>
  </si>
  <si>
    <t>FELIX LAMPTEY</t>
  </si>
  <si>
    <t>TEMP-838</t>
  </si>
  <si>
    <t>IBRAHIM MOHAMMED TAUFIQ</t>
  </si>
  <si>
    <t>TEMP-897</t>
  </si>
  <si>
    <t>ABDUL RAZAK SALIFU</t>
  </si>
  <si>
    <t>TEMP-780</t>
  </si>
  <si>
    <t>BENEDICTA FRANCE</t>
  </si>
  <si>
    <t>TEMP-175</t>
  </si>
  <si>
    <t>VANESSA ADOM AWUKU</t>
  </si>
  <si>
    <t>TEMP-281</t>
  </si>
  <si>
    <t>ABUBAKAR ABID ABOKI</t>
  </si>
  <si>
    <t>TEMP-174</t>
  </si>
  <si>
    <t xml:space="preserve">OSGOOD ACKOM </t>
  </si>
  <si>
    <t>TEMP-176</t>
  </si>
  <si>
    <t>ACHEAMPONG CECELIA</t>
  </si>
  <si>
    <t>TEMP-234</t>
  </si>
  <si>
    <t>YVONNE RUBY TAY</t>
  </si>
  <si>
    <t>TEMP-313</t>
  </si>
  <si>
    <t>MEIMUNA ABUBAKAR</t>
  </si>
  <si>
    <t>TEMP-018</t>
  </si>
  <si>
    <t>BARIKISU ADAMU</t>
  </si>
  <si>
    <t>TEMP-840</t>
  </si>
  <si>
    <t>LOIS KOOMSON</t>
  </si>
  <si>
    <t>TEMP-797</t>
  </si>
  <si>
    <t>ANNIE AGYEMANG</t>
  </si>
  <si>
    <t>TEMP-809</t>
  </si>
  <si>
    <t>PETER DJAMESHIE</t>
  </si>
  <si>
    <t>TEMP-810</t>
  </si>
  <si>
    <t>ADELAIDE DEDE MENSAH</t>
  </si>
  <si>
    <t>TEMP-1006</t>
  </si>
  <si>
    <t>FELICIA MENSAH</t>
  </si>
  <si>
    <t>TEMP-995</t>
  </si>
  <si>
    <t>BEATIA WOODE</t>
  </si>
  <si>
    <t>ASHAIMAN OFFICE</t>
  </si>
  <si>
    <t>TEMP-996</t>
  </si>
  <si>
    <t>SHERIF ADJOKATSE</t>
  </si>
  <si>
    <t>TEMP-997</t>
  </si>
  <si>
    <t>SAMUEL GYASI YEBOAH</t>
  </si>
  <si>
    <t>TEMP-998</t>
  </si>
  <si>
    <t>MAURISCA GYETEWAA SEY</t>
  </si>
  <si>
    <t>KASOA</t>
  </si>
  <si>
    <t>TEMP-999</t>
  </si>
  <si>
    <t>SOLOMON JOE ANUMAH ANSAH</t>
  </si>
  <si>
    <t>TEMP-1000</t>
  </si>
  <si>
    <t>CHANTEL NGOUAN-KWASIE</t>
  </si>
  <si>
    <t>TEMP-1001</t>
  </si>
  <si>
    <t>HUMAIMA ABUBAKAR SADIQ</t>
  </si>
  <si>
    <t>TEMP-1002</t>
  </si>
  <si>
    <t>ABDUL AZIZ SEIDU</t>
  </si>
  <si>
    <t>TEMP-1003</t>
  </si>
  <si>
    <t>GODWIN TAWIAH</t>
  </si>
  <si>
    <t>HO</t>
  </si>
  <si>
    <t>TEMP-1004</t>
  </si>
  <si>
    <t>AGBETI TOGOBO FOSTER</t>
  </si>
  <si>
    <t>TEMP-1005</t>
  </si>
  <si>
    <t>FARUK INUSAH TIE</t>
  </si>
  <si>
    <t>WA</t>
  </si>
  <si>
    <t>TOTAL</t>
  </si>
  <si>
    <t>SUMMARY</t>
  </si>
  <si>
    <t>NAME</t>
  </si>
  <si>
    <t>NO.</t>
  </si>
  <si>
    <t>TOTAL STAFF STRENGTH AS AT 30/06/2026</t>
  </si>
  <si>
    <t xml:space="preserve">ADD: MAY,2026 SUPPLEMENTARY </t>
  </si>
  <si>
    <t>TOTAL STAFF STRENGTH B/F (JUNE, 2026)</t>
  </si>
  <si>
    <t>ADDITIIONS IN JULY, 2026</t>
  </si>
  <si>
    <t>CONTRACT RENEWAL IN JUNE, 2026</t>
  </si>
  <si>
    <t>LESS:</t>
  </si>
  <si>
    <t>EXPIRED CONTRACT (JUNE, 2026)</t>
  </si>
  <si>
    <t>VAlLIDATION ON HOLD</t>
  </si>
  <si>
    <t>TOTAL ATTRITION</t>
  </si>
  <si>
    <t>TOTAL STAFF STRENGTH AS AT 31/06/2026</t>
  </si>
  <si>
    <t>NOTE</t>
  </si>
  <si>
    <t>Contract staff on allowance of GHS 2,500 as at April 2026</t>
  </si>
  <si>
    <t>Addition: Effective May 2026</t>
  </si>
  <si>
    <t>Addition: Effective June 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</si>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</sst>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3" fillId="2" borderId="5" xfId="0" applyFont="1" applyFill="1" applyBorder="1"/>
    <xf numFmtId="164" fontId="3" fillId="2" borderId="5" xfId="0" applyNumberFormat="1" applyFont="1" applyFill="1" applyBorder="1"/>
    <xf numFmtId="43" fontId="3" fillId="2" borderId="5" xfId="1" applyFont="1" applyFill="1" applyBorder="1" applyAlignment="1" applyProtection="1">
      <alignment horizontal="center"/>
      <protection locked="0"/>
    </xf>
    <xf numFmtId="43" fontId="3" fillId="2" borderId="5" xfId="1" applyFont="1" applyFill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wrapText="1"/>
    </xf>
    <xf numFmtId="164" fontId="3" fillId="2" borderId="5" xfId="0" applyNumberFormat="1" applyFont="1" applyFill="1" applyBorder="1" applyAlignment="1">
      <alignment wrapText="1"/>
    </xf>
    <xf numFmtId="0" fontId="3" fillId="3" borderId="5" xfId="0" applyFont="1" applyFill="1" applyBorder="1"/>
    <xf numFmtId="0" fontId="3" fillId="2" borderId="5" xfId="2" applyFont="1" applyFill="1" applyBorder="1"/>
    <xf numFmtId="0" fontId="3" fillId="2" borderId="0" xfId="0" applyFont="1" applyFill="1"/>
    <xf numFmtId="0" fontId="3" fillId="4" borderId="5" xfId="0" applyFont="1" applyFill="1" applyBorder="1"/>
    <xf numFmtId="0" fontId="3" fillId="3" borderId="0" xfId="0" applyFont="1" applyFill="1"/>
    <xf numFmtId="0" fontId="3" fillId="5" borderId="5" xfId="0" applyFont="1" applyFill="1" applyBorder="1"/>
    <xf numFmtId="0" fontId="3" fillId="2" borderId="5" xfId="0" applyFont="1" applyFill="1" applyBorder="1" applyAlignment="1">
      <alignment vertical="center"/>
    </xf>
    <xf numFmtId="0" fontId="3" fillId="0" borderId="5" xfId="0" applyFont="1" applyBorder="1"/>
    <xf numFmtId="0" fontId="3" fillId="2" borderId="6" xfId="0" applyFont="1" applyFill="1" applyBorder="1"/>
    <xf numFmtId="43" fontId="3" fillId="2" borderId="6" xfId="1" applyFont="1" applyFill="1" applyBorder="1" applyAlignment="1" applyProtection="1">
      <alignment horizontal="center"/>
      <protection locked="0"/>
    </xf>
    <xf numFmtId="43" fontId="3" fillId="2" borderId="6" xfId="1" applyFont="1" applyFill="1" applyBorder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vertical="center" wrapText="1"/>
    </xf>
    <xf numFmtId="0" fontId="3" fillId="6" borderId="5" xfId="0" applyFont="1" applyFill="1" applyBorder="1"/>
    <xf numFmtId="164" fontId="3" fillId="6" borderId="5" xfId="0" applyNumberFormat="1" applyFont="1" applyFill="1" applyBorder="1"/>
    <xf numFmtId="43" fontId="3" fillId="6" borderId="5" xfId="1" applyFont="1" applyFill="1" applyBorder="1" applyAlignment="1" applyProtection="1">
      <alignment horizontal="center"/>
      <protection locked="0"/>
    </xf>
    <xf numFmtId="43" fontId="3" fillId="6" borderId="5" xfId="1" applyFont="1" applyFill="1" applyBorder="1"/>
    <xf numFmtId="0" fontId="3" fillId="6" borderId="5" xfId="0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wrapText="1"/>
    </xf>
    <xf numFmtId="0" fontId="4" fillId="6" borderId="5" xfId="0" applyFont="1" applyFill="1" applyBorder="1"/>
    <xf numFmtId="0" fontId="3" fillId="6" borderId="0" xfId="0" applyFont="1" applyFill="1"/>
    <xf numFmtId="0" fontId="5" fillId="2" borderId="5" xfId="0" applyFont="1" applyFill="1" applyBorder="1"/>
    <xf numFmtId="164" fontId="5" fillId="2" borderId="5" xfId="0" applyNumberFormat="1" applyFont="1" applyFill="1" applyBorder="1"/>
    <xf numFmtId="43" fontId="5" fillId="2" borderId="5" xfId="1" applyFont="1" applyFill="1" applyBorder="1" applyAlignment="1" applyProtection="1">
      <alignment horizontal="center"/>
      <protection locked="0"/>
    </xf>
    <xf numFmtId="4" fontId="5" fillId="2" borderId="5" xfId="0" applyNumberFormat="1" applyFont="1" applyFill="1" applyBorder="1"/>
    <xf numFmtId="0" fontId="5" fillId="2" borderId="5" xfId="0" applyFont="1" applyFill="1" applyBorder="1" applyAlignment="1">
      <alignment horizontal="center"/>
    </xf>
    <xf numFmtId="4" fontId="3" fillId="2" borderId="5" xfId="0" applyNumberFormat="1" applyFont="1" applyFill="1" applyBorder="1"/>
    <xf numFmtId="0" fontId="3" fillId="7" borderId="5" xfId="0" applyFont="1" applyFill="1" applyBorder="1"/>
    <xf numFmtId="164" fontId="3" fillId="7" borderId="5" xfId="0" applyNumberFormat="1" applyFont="1" applyFill="1" applyBorder="1"/>
    <xf numFmtId="43" fontId="3" fillId="7" borderId="5" xfId="1" applyFont="1" applyFill="1" applyBorder="1" applyAlignment="1" applyProtection="1">
      <alignment horizontal="center"/>
      <protection locked="0"/>
    </xf>
    <xf numFmtId="43" fontId="3" fillId="7" borderId="5" xfId="1" applyFont="1" applyFill="1" applyBorder="1"/>
    <xf numFmtId="0" fontId="3" fillId="7" borderId="5" xfId="0" applyFont="1" applyFill="1" applyBorder="1" applyAlignment="1">
      <alignment horizontal="center"/>
    </xf>
    <xf numFmtId="43" fontId="2" fillId="0" borderId="5" xfId="1" applyFont="1" applyFill="1" applyBorder="1" applyAlignment="1" applyProtection="1">
      <protection locked="0"/>
    </xf>
    <xf numFmtId="43" fontId="2" fillId="0" borderId="5" xfId="1" applyFont="1" applyFill="1" applyBorder="1"/>
    <xf numFmtId="0" fontId="2" fillId="0" borderId="5" xfId="0" applyFont="1" applyBorder="1" applyAlignment="1">
      <alignment horizontal="center"/>
    </xf>
    <xf numFmtId="4" fontId="2" fillId="0" borderId="5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3" fillId="0" borderId="5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6" fillId="0" borderId="5" xfId="0" applyFont="1" applyBorder="1"/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1DD36BED-ACCD-4DA6-ADEF-FF1CFC983DC2}"/>
  </cellStyles>
  <dxfs count="30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0FD-AB98-4588-B2FE-CC25F207B31E}">
  <dimension ref="A1:FA705"/>
  <sheetViews>
    <sheetView tabSelected="1" topLeftCell="G1" workbookViewId="0">
      <selection activeCell="H287" sqref="H287:I293"/>
    </sheetView>
  </sheetViews>
  <sheetFormatPr defaultColWidth="12" defaultRowHeight="18.75" x14ac:dyDescent="0.3"/>
  <cols>
    <col min="1" max="1" width="9.5703125" style="23" bestFit="1" customWidth="1"/>
    <col min="2" max="2" width="20.85546875" style="23" bestFit="1" customWidth="1"/>
    <col min="3" max="3" width="63.140625" style="23" bestFit="1" customWidth="1"/>
    <col min="4" max="4" width="49.28515625" style="23" bestFit="1" customWidth="1"/>
    <col min="5" max="5" width="33.28515625" style="54" bestFit="1" customWidth="1"/>
    <col min="6" max="6" width="37.42578125" style="54" bestFit="1" customWidth="1"/>
    <col min="7" max="7" width="16" style="23" bestFit="1" customWidth="1"/>
    <col min="8" max="8" width="23.42578125" style="23" bestFit="1" customWidth="1"/>
    <col min="9" max="9" width="23.28515625" style="23" bestFit="1" customWidth="1"/>
    <col min="10" max="10" width="33.85546875" style="23" bestFit="1" customWidth="1"/>
    <col min="11" max="11" width="16.85546875" style="23" bestFit="1" customWidth="1"/>
    <col min="12" max="12" width="15.42578125" style="23" bestFit="1" customWidth="1"/>
    <col min="13" max="13" width="25.5703125" style="23" bestFit="1" customWidth="1"/>
    <col min="14" max="14" width="38.28515625" style="23" bestFit="1" customWidth="1"/>
    <col min="15" max="15" width="19.42578125" style="23" bestFit="1" customWidth="1"/>
    <col min="16" max="16" width="29.42578125" style="23" bestFit="1" customWidth="1"/>
    <col min="17" max="17" width="16" style="23" bestFit="1" customWidth="1"/>
    <col min="18" max="16384" width="12" style="23"/>
  </cols>
  <sheetData>
    <row r="1" spans="1:83" s="4" customFormat="1" ht="34.5" customHeight="1" thickBot="1" x14ac:dyDescent="0.35">
      <c r="A1" s="1" t="s">
        <v>0</v>
      </c>
      <c r="B1" s="2"/>
      <c r="C1" s="2"/>
      <c r="D1" s="2"/>
      <c r="E1" s="2"/>
      <c r="F1" s="3"/>
    </row>
    <row r="2" spans="1:83" s="9" customFormat="1" ht="20.100000000000001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8" t="s">
        <v>15</v>
      </c>
      <c r="P2" s="7" t="s">
        <v>16</v>
      </c>
      <c r="Q2" s="5" t="s">
        <v>17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</row>
    <row r="3" spans="1:83" s="9" customFormat="1" ht="20.100000000000001" customHeight="1" x14ac:dyDescent="0.3">
      <c r="A3" s="9">
        <v>1</v>
      </c>
      <c r="B3" s="9" t="s">
        <v>18</v>
      </c>
      <c r="C3" s="9" t="s">
        <v>19</v>
      </c>
      <c r="D3" s="9" t="s">
        <v>20</v>
      </c>
      <c r="E3" s="10">
        <v>46083</v>
      </c>
      <c r="F3" s="10">
        <v>46265</v>
      </c>
      <c r="G3" s="11">
        <v>1400</v>
      </c>
      <c r="H3" s="12">
        <v>1400</v>
      </c>
      <c r="I3" s="13">
        <v>1</v>
      </c>
      <c r="J3" s="12">
        <f t="shared" ref="J3:J66" si="0">H3*I3</f>
        <v>1400</v>
      </c>
      <c r="K3" s="12">
        <f t="shared" ref="K3:K66" si="1">J3*0.055</f>
        <v>77</v>
      </c>
      <c r="L3" s="12">
        <f t="shared" ref="L3:L66" si="2">0.13*J3</f>
        <v>182</v>
      </c>
      <c r="M3" s="12">
        <f t="shared" ref="M3:M66" si="3">J3+L3</f>
        <v>1582</v>
      </c>
      <c r="N3" s="12">
        <f t="shared" ref="N3:N66" si="4">J3-K3</f>
        <v>1323</v>
      </c>
      <c r="O3" s="12">
        <v>122.28</v>
      </c>
      <c r="P3" s="12">
        <f t="shared" ref="P3:P66" si="5">K3+O3</f>
        <v>199.28</v>
      </c>
      <c r="Q3" s="12">
        <f t="shared" ref="Q3:Q66" si="6">J3-P3</f>
        <v>1200.72</v>
      </c>
    </row>
    <row r="4" spans="1:83" s="9" customFormat="1" ht="20.100000000000001" customHeight="1" x14ac:dyDescent="0.3">
      <c r="A4" s="9">
        <v>2</v>
      </c>
      <c r="B4" s="9" t="s">
        <v>21</v>
      </c>
      <c r="C4" s="9" t="s">
        <v>22</v>
      </c>
      <c r="D4" s="9" t="s">
        <v>23</v>
      </c>
      <c r="E4" s="10">
        <v>46174</v>
      </c>
      <c r="F4" s="10">
        <v>46356</v>
      </c>
      <c r="G4" s="11">
        <v>1400</v>
      </c>
      <c r="H4" s="12">
        <v>1400</v>
      </c>
      <c r="I4" s="13">
        <v>1</v>
      </c>
      <c r="J4" s="12">
        <f t="shared" si="0"/>
        <v>1400</v>
      </c>
      <c r="K4" s="12">
        <f t="shared" si="1"/>
        <v>77</v>
      </c>
      <c r="L4" s="12">
        <f t="shared" si="2"/>
        <v>182</v>
      </c>
      <c r="M4" s="12">
        <f t="shared" si="3"/>
        <v>1582</v>
      </c>
      <c r="N4" s="12">
        <f t="shared" si="4"/>
        <v>1323</v>
      </c>
      <c r="O4" s="12">
        <v>122.28</v>
      </c>
      <c r="P4" s="12">
        <f t="shared" si="5"/>
        <v>199.28</v>
      </c>
      <c r="Q4" s="12">
        <f t="shared" si="6"/>
        <v>1200.72</v>
      </c>
    </row>
    <row r="5" spans="1:83" s="9" customFormat="1" ht="20.100000000000001" customHeight="1" x14ac:dyDescent="0.3">
      <c r="A5" s="9">
        <v>3</v>
      </c>
      <c r="B5" s="9" t="s">
        <v>24</v>
      </c>
      <c r="C5" s="9" t="s">
        <v>25</v>
      </c>
      <c r="D5" s="14" t="s">
        <v>26</v>
      </c>
      <c r="E5" s="10">
        <v>46113</v>
      </c>
      <c r="F5" s="10">
        <v>46295</v>
      </c>
      <c r="G5" s="11">
        <v>1400</v>
      </c>
      <c r="H5" s="12">
        <v>1400</v>
      </c>
      <c r="I5" s="13">
        <v>1</v>
      </c>
      <c r="J5" s="12">
        <f t="shared" si="0"/>
        <v>1400</v>
      </c>
      <c r="K5" s="12">
        <f t="shared" si="1"/>
        <v>77</v>
      </c>
      <c r="L5" s="12">
        <f t="shared" si="2"/>
        <v>182</v>
      </c>
      <c r="M5" s="12">
        <f t="shared" si="3"/>
        <v>1582</v>
      </c>
      <c r="N5" s="12">
        <f t="shared" si="4"/>
        <v>1323</v>
      </c>
      <c r="O5" s="12">
        <v>122.28</v>
      </c>
      <c r="P5" s="12">
        <f t="shared" si="5"/>
        <v>199.28</v>
      </c>
      <c r="Q5" s="12">
        <f t="shared" si="6"/>
        <v>1200.72</v>
      </c>
    </row>
    <row r="6" spans="1:83" s="9" customFormat="1" ht="20.100000000000001" customHeight="1" x14ac:dyDescent="0.3">
      <c r="A6" s="9">
        <v>4</v>
      </c>
      <c r="B6" s="9" t="s">
        <v>27</v>
      </c>
      <c r="C6" s="9" t="s">
        <v>28</v>
      </c>
      <c r="D6" s="14" t="s">
        <v>26</v>
      </c>
      <c r="E6" s="10">
        <v>46113</v>
      </c>
      <c r="F6" s="10">
        <v>46295</v>
      </c>
      <c r="G6" s="11">
        <v>1400</v>
      </c>
      <c r="H6" s="12">
        <v>1400</v>
      </c>
      <c r="I6" s="13">
        <v>1</v>
      </c>
      <c r="J6" s="12">
        <f t="shared" si="0"/>
        <v>1400</v>
      </c>
      <c r="K6" s="12">
        <f t="shared" si="1"/>
        <v>77</v>
      </c>
      <c r="L6" s="12">
        <f t="shared" si="2"/>
        <v>182</v>
      </c>
      <c r="M6" s="12">
        <f t="shared" si="3"/>
        <v>1582</v>
      </c>
      <c r="N6" s="12">
        <f t="shared" si="4"/>
        <v>1323</v>
      </c>
      <c r="O6" s="12">
        <v>122.28</v>
      </c>
      <c r="P6" s="12">
        <f t="shared" si="5"/>
        <v>199.28</v>
      </c>
      <c r="Q6" s="12">
        <f t="shared" si="6"/>
        <v>1200.72</v>
      </c>
    </row>
    <row r="7" spans="1:83" s="9" customFormat="1" ht="20.100000000000001" customHeight="1" x14ac:dyDescent="0.3">
      <c r="A7" s="9">
        <v>5</v>
      </c>
      <c r="B7" s="9" t="s">
        <v>29</v>
      </c>
      <c r="C7" s="9" t="s">
        <v>30</v>
      </c>
      <c r="D7" s="14" t="s">
        <v>26</v>
      </c>
      <c r="E7" s="10">
        <v>46174</v>
      </c>
      <c r="F7" s="10">
        <v>46356</v>
      </c>
      <c r="G7" s="11">
        <v>1400</v>
      </c>
      <c r="H7" s="12">
        <v>1400</v>
      </c>
      <c r="I7" s="13">
        <v>1</v>
      </c>
      <c r="J7" s="12">
        <f t="shared" si="0"/>
        <v>1400</v>
      </c>
      <c r="K7" s="12">
        <f t="shared" si="1"/>
        <v>77</v>
      </c>
      <c r="L7" s="12">
        <f t="shared" si="2"/>
        <v>182</v>
      </c>
      <c r="M7" s="12">
        <f t="shared" si="3"/>
        <v>1582</v>
      </c>
      <c r="N7" s="12">
        <f t="shared" si="4"/>
        <v>1323</v>
      </c>
      <c r="O7" s="12">
        <v>122.28</v>
      </c>
      <c r="P7" s="12">
        <f t="shared" si="5"/>
        <v>199.28</v>
      </c>
      <c r="Q7" s="12">
        <f t="shared" si="6"/>
        <v>1200.72</v>
      </c>
    </row>
    <row r="8" spans="1:83" s="9" customFormat="1" ht="20.100000000000001" customHeight="1" x14ac:dyDescent="0.3">
      <c r="A8" s="9">
        <v>6</v>
      </c>
      <c r="B8" s="9" t="s">
        <v>31</v>
      </c>
      <c r="C8" s="9" t="s">
        <v>32</v>
      </c>
      <c r="D8" s="14" t="s">
        <v>26</v>
      </c>
      <c r="E8" s="10">
        <v>46174</v>
      </c>
      <c r="F8" s="10">
        <v>46356</v>
      </c>
      <c r="G8" s="11">
        <v>1400</v>
      </c>
      <c r="H8" s="12">
        <v>1400</v>
      </c>
      <c r="I8" s="13">
        <v>1</v>
      </c>
      <c r="J8" s="12">
        <f t="shared" si="0"/>
        <v>1400</v>
      </c>
      <c r="K8" s="12">
        <f t="shared" si="1"/>
        <v>77</v>
      </c>
      <c r="L8" s="12">
        <f t="shared" si="2"/>
        <v>182</v>
      </c>
      <c r="M8" s="12">
        <f t="shared" si="3"/>
        <v>1582</v>
      </c>
      <c r="N8" s="12">
        <f t="shared" si="4"/>
        <v>1323</v>
      </c>
      <c r="O8" s="12">
        <v>122.28</v>
      </c>
      <c r="P8" s="12">
        <f t="shared" si="5"/>
        <v>199.28</v>
      </c>
      <c r="Q8" s="12">
        <f t="shared" si="6"/>
        <v>1200.72</v>
      </c>
    </row>
    <row r="9" spans="1:83" s="9" customFormat="1" ht="20.100000000000001" customHeight="1" x14ac:dyDescent="0.3">
      <c r="A9" s="9">
        <v>7</v>
      </c>
      <c r="B9" s="9" t="s">
        <v>33</v>
      </c>
      <c r="C9" s="9" t="s">
        <v>34</v>
      </c>
      <c r="D9" s="14" t="s">
        <v>26</v>
      </c>
      <c r="E9" s="10">
        <v>46113</v>
      </c>
      <c r="F9" s="10">
        <v>46295</v>
      </c>
      <c r="G9" s="11">
        <v>1400</v>
      </c>
      <c r="H9" s="12">
        <v>1400</v>
      </c>
      <c r="I9" s="13">
        <v>1</v>
      </c>
      <c r="J9" s="12">
        <f t="shared" si="0"/>
        <v>1400</v>
      </c>
      <c r="K9" s="12">
        <f t="shared" si="1"/>
        <v>77</v>
      </c>
      <c r="L9" s="12">
        <f t="shared" si="2"/>
        <v>182</v>
      </c>
      <c r="M9" s="12">
        <f t="shared" si="3"/>
        <v>1582</v>
      </c>
      <c r="N9" s="12">
        <f t="shared" si="4"/>
        <v>1323</v>
      </c>
      <c r="O9" s="12">
        <v>122.28</v>
      </c>
      <c r="P9" s="12">
        <f t="shared" si="5"/>
        <v>199.28</v>
      </c>
      <c r="Q9" s="12">
        <f t="shared" si="6"/>
        <v>1200.72</v>
      </c>
    </row>
    <row r="10" spans="1:83" s="9" customFormat="1" ht="20.100000000000001" customHeight="1" x14ac:dyDescent="0.3">
      <c r="A10" s="9">
        <v>8</v>
      </c>
      <c r="B10" s="9" t="s">
        <v>35</v>
      </c>
      <c r="C10" s="9" t="s">
        <v>36</v>
      </c>
      <c r="D10" s="14" t="s">
        <v>26</v>
      </c>
      <c r="E10" s="10">
        <v>46113</v>
      </c>
      <c r="F10" s="10">
        <v>46295</v>
      </c>
      <c r="G10" s="11">
        <v>1400</v>
      </c>
      <c r="H10" s="12">
        <v>1400</v>
      </c>
      <c r="I10" s="13">
        <v>1</v>
      </c>
      <c r="J10" s="12">
        <f t="shared" si="0"/>
        <v>1400</v>
      </c>
      <c r="K10" s="12">
        <f t="shared" si="1"/>
        <v>77</v>
      </c>
      <c r="L10" s="12">
        <f t="shared" si="2"/>
        <v>182</v>
      </c>
      <c r="M10" s="12">
        <f t="shared" si="3"/>
        <v>1582</v>
      </c>
      <c r="N10" s="12">
        <f t="shared" si="4"/>
        <v>1323</v>
      </c>
      <c r="O10" s="12">
        <v>122.28</v>
      </c>
      <c r="P10" s="12">
        <f t="shared" si="5"/>
        <v>199.28</v>
      </c>
      <c r="Q10" s="12">
        <f t="shared" si="6"/>
        <v>1200.72</v>
      </c>
    </row>
    <row r="11" spans="1:83" s="9" customFormat="1" ht="20.100000000000001" customHeight="1" x14ac:dyDescent="0.3">
      <c r="A11" s="9">
        <v>9</v>
      </c>
      <c r="B11" s="9" t="s">
        <v>37</v>
      </c>
      <c r="C11" s="9" t="s">
        <v>38</v>
      </c>
      <c r="D11" s="9" t="s">
        <v>39</v>
      </c>
      <c r="E11" s="15">
        <v>46113</v>
      </c>
      <c r="F11" s="15">
        <v>46295</v>
      </c>
      <c r="G11" s="11">
        <v>1400</v>
      </c>
      <c r="H11" s="12">
        <v>1400</v>
      </c>
      <c r="I11" s="13">
        <v>1</v>
      </c>
      <c r="J11" s="12">
        <f t="shared" si="0"/>
        <v>1400</v>
      </c>
      <c r="K11" s="12">
        <f t="shared" si="1"/>
        <v>77</v>
      </c>
      <c r="L11" s="12">
        <f t="shared" si="2"/>
        <v>182</v>
      </c>
      <c r="M11" s="12">
        <f t="shared" si="3"/>
        <v>1582</v>
      </c>
      <c r="N11" s="12">
        <f t="shared" si="4"/>
        <v>1323</v>
      </c>
      <c r="O11" s="12">
        <v>122.28</v>
      </c>
      <c r="P11" s="12">
        <f t="shared" si="5"/>
        <v>199.28</v>
      </c>
      <c r="Q11" s="12">
        <f t="shared" si="6"/>
        <v>1200.72</v>
      </c>
    </row>
    <row r="12" spans="1:83" s="16" customFormat="1" ht="20.100000000000001" customHeight="1" x14ac:dyDescent="0.3">
      <c r="A12" s="9">
        <v>10</v>
      </c>
      <c r="B12" s="9" t="s">
        <v>40</v>
      </c>
      <c r="C12" s="9" t="s">
        <v>41</v>
      </c>
      <c r="D12" s="9" t="s">
        <v>42</v>
      </c>
      <c r="E12" s="15">
        <v>46113</v>
      </c>
      <c r="F12" s="15">
        <v>46295</v>
      </c>
      <c r="G12" s="11">
        <v>1400</v>
      </c>
      <c r="H12" s="12">
        <v>1400</v>
      </c>
      <c r="I12" s="13">
        <v>1</v>
      </c>
      <c r="J12" s="12">
        <f t="shared" si="0"/>
        <v>1400</v>
      </c>
      <c r="K12" s="12">
        <f t="shared" si="1"/>
        <v>77</v>
      </c>
      <c r="L12" s="12">
        <f t="shared" si="2"/>
        <v>182</v>
      </c>
      <c r="M12" s="12">
        <f t="shared" si="3"/>
        <v>1582</v>
      </c>
      <c r="N12" s="12">
        <f t="shared" si="4"/>
        <v>1323</v>
      </c>
      <c r="O12" s="12">
        <v>122.28</v>
      </c>
      <c r="P12" s="12">
        <f t="shared" si="5"/>
        <v>199.28</v>
      </c>
      <c r="Q12" s="12">
        <f t="shared" si="6"/>
        <v>1200.72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9" customFormat="1" ht="20.100000000000001" customHeight="1" x14ac:dyDescent="0.3">
      <c r="A13" s="9">
        <v>11</v>
      </c>
      <c r="B13" s="9" t="s">
        <v>43</v>
      </c>
      <c r="C13" s="9" t="s">
        <v>44</v>
      </c>
      <c r="D13" s="9" t="s">
        <v>42</v>
      </c>
      <c r="E13" s="15">
        <v>46113</v>
      </c>
      <c r="F13" s="15">
        <v>46295</v>
      </c>
      <c r="G13" s="11">
        <v>1400</v>
      </c>
      <c r="H13" s="12">
        <v>1400</v>
      </c>
      <c r="I13" s="13">
        <v>1</v>
      </c>
      <c r="J13" s="12">
        <f t="shared" si="0"/>
        <v>1400</v>
      </c>
      <c r="K13" s="12">
        <f t="shared" si="1"/>
        <v>77</v>
      </c>
      <c r="L13" s="12">
        <f t="shared" si="2"/>
        <v>182</v>
      </c>
      <c r="M13" s="12">
        <f t="shared" si="3"/>
        <v>1582</v>
      </c>
      <c r="N13" s="12">
        <f t="shared" si="4"/>
        <v>1323</v>
      </c>
      <c r="O13" s="12">
        <v>122.28</v>
      </c>
      <c r="P13" s="12">
        <f t="shared" si="5"/>
        <v>199.28</v>
      </c>
      <c r="Q13" s="12">
        <f t="shared" si="6"/>
        <v>1200.72</v>
      </c>
    </row>
    <row r="14" spans="1:83" s="9" customFormat="1" ht="20.100000000000001" customHeight="1" x14ac:dyDescent="0.3">
      <c r="A14" s="9">
        <v>12</v>
      </c>
      <c r="B14" s="9" t="s">
        <v>45</v>
      </c>
      <c r="C14" s="9" t="s">
        <v>46</v>
      </c>
      <c r="D14" s="9" t="s">
        <v>42</v>
      </c>
      <c r="E14" s="15">
        <v>46113</v>
      </c>
      <c r="F14" s="15">
        <v>46295</v>
      </c>
      <c r="G14" s="11">
        <v>1400</v>
      </c>
      <c r="H14" s="12">
        <v>1400</v>
      </c>
      <c r="I14" s="13">
        <v>1</v>
      </c>
      <c r="J14" s="12">
        <f t="shared" si="0"/>
        <v>1400</v>
      </c>
      <c r="K14" s="12">
        <f t="shared" si="1"/>
        <v>77</v>
      </c>
      <c r="L14" s="12">
        <f t="shared" si="2"/>
        <v>182</v>
      </c>
      <c r="M14" s="12">
        <f t="shared" si="3"/>
        <v>1582</v>
      </c>
      <c r="N14" s="12">
        <f t="shared" si="4"/>
        <v>1323</v>
      </c>
      <c r="O14" s="12">
        <v>122.28</v>
      </c>
      <c r="P14" s="12">
        <f t="shared" si="5"/>
        <v>199.28</v>
      </c>
      <c r="Q14" s="12">
        <f t="shared" si="6"/>
        <v>1200.72</v>
      </c>
    </row>
    <row r="15" spans="1:83" s="9" customFormat="1" ht="20.100000000000001" customHeight="1" x14ac:dyDescent="0.3">
      <c r="A15" s="9">
        <v>13</v>
      </c>
      <c r="B15" s="9" t="s">
        <v>47</v>
      </c>
      <c r="C15" s="17" t="s">
        <v>48</v>
      </c>
      <c r="D15" s="9" t="s">
        <v>42</v>
      </c>
      <c r="E15" s="15">
        <v>46113</v>
      </c>
      <c r="F15" s="15">
        <v>46295</v>
      </c>
      <c r="G15" s="11">
        <v>1400</v>
      </c>
      <c r="H15" s="12">
        <v>1400</v>
      </c>
      <c r="I15" s="13">
        <v>1</v>
      </c>
      <c r="J15" s="12">
        <f t="shared" si="0"/>
        <v>1400</v>
      </c>
      <c r="K15" s="12">
        <f t="shared" si="1"/>
        <v>77</v>
      </c>
      <c r="L15" s="12">
        <f t="shared" si="2"/>
        <v>182</v>
      </c>
      <c r="M15" s="12">
        <f t="shared" si="3"/>
        <v>1582</v>
      </c>
      <c r="N15" s="12">
        <f t="shared" si="4"/>
        <v>1323</v>
      </c>
      <c r="O15" s="12">
        <v>122.28</v>
      </c>
      <c r="P15" s="12">
        <f t="shared" si="5"/>
        <v>199.28</v>
      </c>
      <c r="Q15" s="12">
        <f t="shared" si="6"/>
        <v>1200.72</v>
      </c>
    </row>
    <row r="16" spans="1:83" s="9" customFormat="1" ht="20.100000000000001" customHeight="1" x14ac:dyDescent="0.3">
      <c r="A16" s="9">
        <v>14</v>
      </c>
      <c r="B16" s="9" t="s">
        <v>49</v>
      </c>
      <c r="C16" s="9" t="s">
        <v>50</v>
      </c>
      <c r="D16" s="9" t="s">
        <v>42</v>
      </c>
      <c r="E16" s="15">
        <v>46113</v>
      </c>
      <c r="F16" s="15">
        <v>46295</v>
      </c>
      <c r="G16" s="11">
        <v>1400</v>
      </c>
      <c r="H16" s="12">
        <v>1400</v>
      </c>
      <c r="I16" s="13">
        <v>1</v>
      </c>
      <c r="J16" s="12">
        <f t="shared" si="0"/>
        <v>1400</v>
      </c>
      <c r="K16" s="12">
        <f t="shared" si="1"/>
        <v>77</v>
      </c>
      <c r="L16" s="12">
        <f t="shared" si="2"/>
        <v>182</v>
      </c>
      <c r="M16" s="12">
        <f t="shared" si="3"/>
        <v>1582</v>
      </c>
      <c r="N16" s="12">
        <f t="shared" si="4"/>
        <v>1323</v>
      </c>
      <c r="O16" s="12">
        <v>122.28</v>
      </c>
      <c r="P16" s="12">
        <f t="shared" si="5"/>
        <v>199.28</v>
      </c>
      <c r="Q16" s="12">
        <f t="shared" si="6"/>
        <v>1200.72</v>
      </c>
    </row>
    <row r="17" spans="1:83" s="9" customFormat="1" ht="20.100000000000001" customHeight="1" x14ac:dyDescent="0.3">
      <c r="A17" s="9">
        <v>15</v>
      </c>
      <c r="B17" s="9" t="s">
        <v>51</v>
      </c>
      <c r="C17" s="9" t="s">
        <v>52</v>
      </c>
      <c r="D17" s="9" t="s">
        <v>42</v>
      </c>
      <c r="E17" s="15">
        <v>46113</v>
      </c>
      <c r="F17" s="15">
        <v>46295</v>
      </c>
      <c r="G17" s="11">
        <v>1400</v>
      </c>
      <c r="H17" s="12">
        <v>1400</v>
      </c>
      <c r="I17" s="13">
        <v>1</v>
      </c>
      <c r="J17" s="12">
        <f t="shared" si="0"/>
        <v>1400</v>
      </c>
      <c r="K17" s="12">
        <f t="shared" si="1"/>
        <v>77</v>
      </c>
      <c r="L17" s="12">
        <f t="shared" si="2"/>
        <v>182</v>
      </c>
      <c r="M17" s="12">
        <f t="shared" si="3"/>
        <v>1582</v>
      </c>
      <c r="N17" s="12">
        <f t="shared" si="4"/>
        <v>1323</v>
      </c>
      <c r="O17" s="12">
        <v>122.28</v>
      </c>
      <c r="P17" s="12">
        <f t="shared" si="5"/>
        <v>199.28</v>
      </c>
      <c r="Q17" s="12">
        <f t="shared" si="6"/>
        <v>1200.72</v>
      </c>
    </row>
    <row r="18" spans="1:83" s="9" customFormat="1" ht="20.100000000000001" customHeight="1" x14ac:dyDescent="0.3">
      <c r="A18" s="9">
        <v>16</v>
      </c>
      <c r="B18" s="9" t="s">
        <v>53</v>
      </c>
      <c r="C18" s="9" t="s">
        <v>54</v>
      </c>
      <c r="D18" s="9" t="s">
        <v>42</v>
      </c>
      <c r="E18" s="15">
        <v>46113</v>
      </c>
      <c r="F18" s="15">
        <v>46295</v>
      </c>
      <c r="G18" s="11">
        <v>1400</v>
      </c>
      <c r="H18" s="12">
        <v>1400</v>
      </c>
      <c r="I18" s="13">
        <v>1</v>
      </c>
      <c r="J18" s="12">
        <f t="shared" si="0"/>
        <v>1400</v>
      </c>
      <c r="K18" s="12">
        <f t="shared" si="1"/>
        <v>77</v>
      </c>
      <c r="L18" s="12">
        <f t="shared" si="2"/>
        <v>182</v>
      </c>
      <c r="M18" s="12">
        <f t="shared" si="3"/>
        <v>1582</v>
      </c>
      <c r="N18" s="12">
        <f t="shared" si="4"/>
        <v>1323</v>
      </c>
      <c r="O18" s="12">
        <v>122.28</v>
      </c>
      <c r="P18" s="12">
        <f t="shared" si="5"/>
        <v>199.28</v>
      </c>
      <c r="Q18" s="12">
        <f t="shared" si="6"/>
        <v>1200.72</v>
      </c>
    </row>
    <row r="19" spans="1:83" s="16" customFormat="1" ht="20.100000000000001" customHeight="1" x14ac:dyDescent="0.3">
      <c r="A19" s="9">
        <v>17</v>
      </c>
      <c r="B19" s="9" t="s">
        <v>55</v>
      </c>
      <c r="C19" s="9" t="s">
        <v>56</v>
      </c>
      <c r="D19" s="9" t="s">
        <v>42</v>
      </c>
      <c r="E19" s="15">
        <v>46113</v>
      </c>
      <c r="F19" s="15">
        <v>46295</v>
      </c>
      <c r="G19" s="11">
        <v>1400</v>
      </c>
      <c r="H19" s="12">
        <v>1400</v>
      </c>
      <c r="I19" s="13">
        <v>1</v>
      </c>
      <c r="J19" s="12">
        <f t="shared" si="0"/>
        <v>1400</v>
      </c>
      <c r="K19" s="12">
        <f t="shared" si="1"/>
        <v>77</v>
      </c>
      <c r="L19" s="12">
        <f t="shared" si="2"/>
        <v>182</v>
      </c>
      <c r="M19" s="12">
        <f t="shared" si="3"/>
        <v>1582</v>
      </c>
      <c r="N19" s="12">
        <f t="shared" si="4"/>
        <v>1323</v>
      </c>
      <c r="O19" s="12">
        <v>122.28</v>
      </c>
      <c r="P19" s="12">
        <f t="shared" si="5"/>
        <v>199.28</v>
      </c>
      <c r="Q19" s="12">
        <f t="shared" si="6"/>
        <v>1200.72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</row>
    <row r="20" spans="1:83" s="9" customFormat="1" ht="20.100000000000001" customHeight="1" x14ac:dyDescent="0.3">
      <c r="A20" s="9">
        <v>18</v>
      </c>
      <c r="B20" s="9" t="s">
        <v>57</v>
      </c>
      <c r="C20" s="9" t="s">
        <v>58</v>
      </c>
      <c r="D20" s="9" t="s">
        <v>42</v>
      </c>
      <c r="E20" s="15">
        <v>46113</v>
      </c>
      <c r="F20" s="15">
        <v>46295</v>
      </c>
      <c r="G20" s="11">
        <v>1400</v>
      </c>
      <c r="H20" s="12">
        <v>1400</v>
      </c>
      <c r="I20" s="13">
        <v>1</v>
      </c>
      <c r="J20" s="12">
        <f t="shared" si="0"/>
        <v>1400</v>
      </c>
      <c r="K20" s="12">
        <f t="shared" si="1"/>
        <v>77</v>
      </c>
      <c r="L20" s="12">
        <f t="shared" si="2"/>
        <v>182</v>
      </c>
      <c r="M20" s="12">
        <f t="shared" si="3"/>
        <v>1582</v>
      </c>
      <c r="N20" s="12">
        <f t="shared" si="4"/>
        <v>1323</v>
      </c>
      <c r="O20" s="12">
        <v>122.28</v>
      </c>
      <c r="P20" s="12">
        <f t="shared" si="5"/>
        <v>199.28</v>
      </c>
      <c r="Q20" s="12">
        <f t="shared" si="6"/>
        <v>1200.72</v>
      </c>
    </row>
    <row r="21" spans="1:83" s="9" customFormat="1" ht="20.100000000000001" customHeight="1" x14ac:dyDescent="0.3">
      <c r="A21" s="9">
        <v>19</v>
      </c>
      <c r="B21" s="9" t="s">
        <v>59</v>
      </c>
      <c r="C21" s="9" t="s">
        <v>60</v>
      </c>
      <c r="D21" s="9" t="s">
        <v>42</v>
      </c>
      <c r="E21" s="15">
        <v>46113</v>
      </c>
      <c r="F21" s="15">
        <v>46295</v>
      </c>
      <c r="G21" s="11">
        <v>1400</v>
      </c>
      <c r="H21" s="12">
        <v>1400</v>
      </c>
      <c r="I21" s="13">
        <v>1</v>
      </c>
      <c r="J21" s="12">
        <f t="shared" si="0"/>
        <v>1400</v>
      </c>
      <c r="K21" s="12">
        <f t="shared" si="1"/>
        <v>77</v>
      </c>
      <c r="L21" s="12">
        <f t="shared" si="2"/>
        <v>182</v>
      </c>
      <c r="M21" s="12">
        <f t="shared" si="3"/>
        <v>1582</v>
      </c>
      <c r="N21" s="12">
        <f t="shared" si="4"/>
        <v>1323</v>
      </c>
      <c r="O21" s="12">
        <v>122.28</v>
      </c>
      <c r="P21" s="12">
        <f t="shared" si="5"/>
        <v>199.28</v>
      </c>
      <c r="Q21" s="12">
        <f t="shared" si="6"/>
        <v>1200.72</v>
      </c>
    </row>
    <row r="22" spans="1:83" s="9" customFormat="1" ht="20.100000000000001" customHeight="1" x14ac:dyDescent="0.3">
      <c r="A22" s="9">
        <v>20</v>
      </c>
      <c r="B22" s="9" t="s">
        <v>61</v>
      </c>
      <c r="C22" s="9" t="s">
        <v>62</v>
      </c>
      <c r="D22" s="9" t="s">
        <v>42</v>
      </c>
      <c r="E22" s="15">
        <v>46113</v>
      </c>
      <c r="F22" s="15">
        <v>46295</v>
      </c>
      <c r="G22" s="11">
        <v>1400</v>
      </c>
      <c r="H22" s="12">
        <v>1400</v>
      </c>
      <c r="I22" s="13">
        <v>1</v>
      </c>
      <c r="J22" s="12">
        <f t="shared" si="0"/>
        <v>1400</v>
      </c>
      <c r="K22" s="12">
        <f t="shared" si="1"/>
        <v>77</v>
      </c>
      <c r="L22" s="12">
        <f t="shared" si="2"/>
        <v>182</v>
      </c>
      <c r="M22" s="12">
        <f t="shared" si="3"/>
        <v>1582</v>
      </c>
      <c r="N22" s="12">
        <f t="shared" si="4"/>
        <v>1323</v>
      </c>
      <c r="O22" s="12">
        <v>122.28</v>
      </c>
      <c r="P22" s="12">
        <f t="shared" si="5"/>
        <v>199.28</v>
      </c>
      <c r="Q22" s="12">
        <f t="shared" si="6"/>
        <v>1200.72</v>
      </c>
    </row>
    <row r="23" spans="1:83" s="9" customFormat="1" ht="20.100000000000001" customHeight="1" x14ac:dyDescent="0.3">
      <c r="A23" s="9">
        <v>21</v>
      </c>
      <c r="B23" s="9" t="s">
        <v>63</v>
      </c>
      <c r="C23" s="9" t="s">
        <v>64</v>
      </c>
      <c r="D23" s="9" t="s">
        <v>42</v>
      </c>
      <c r="E23" s="15">
        <v>46113</v>
      </c>
      <c r="F23" s="15">
        <v>46295</v>
      </c>
      <c r="G23" s="11">
        <v>1400</v>
      </c>
      <c r="H23" s="12">
        <v>1400</v>
      </c>
      <c r="I23" s="13">
        <v>1</v>
      </c>
      <c r="J23" s="12">
        <f t="shared" si="0"/>
        <v>1400</v>
      </c>
      <c r="K23" s="12">
        <f t="shared" si="1"/>
        <v>77</v>
      </c>
      <c r="L23" s="12">
        <f t="shared" si="2"/>
        <v>182</v>
      </c>
      <c r="M23" s="12">
        <f t="shared" si="3"/>
        <v>1582</v>
      </c>
      <c r="N23" s="12">
        <f t="shared" si="4"/>
        <v>1323</v>
      </c>
      <c r="O23" s="12">
        <v>122.28</v>
      </c>
      <c r="P23" s="12">
        <f t="shared" si="5"/>
        <v>199.28</v>
      </c>
      <c r="Q23" s="12">
        <f t="shared" si="6"/>
        <v>1200.72</v>
      </c>
    </row>
    <row r="24" spans="1:83" s="9" customFormat="1" ht="20.100000000000001" customHeight="1" x14ac:dyDescent="0.3">
      <c r="A24" s="9">
        <v>22</v>
      </c>
      <c r="B24" s="9" t="s">
        <v>65</v>
      </c>
      <c r="C24" s="9" t="s">
        <v>66</v>
      </c>
      <c r="D24" s="9" t="s">
        <v>42</v>
      </c>
      <c r="E24" s="15">
        <v>46113</v>
      </c>
      <c r="F24" s="15">
        <v>46295</v>
      </c>
      <c r="G24" s="11">
        <v>1400</v>
      </c>
      <c r="H24" s="12">
        <v>1400</v>
      </c>
      <c r="I24" s="13">
        <v>1</v>
      </c>
      <c r="J24" s="12">
        <f t="shared" si="0"/>
        <v>1400</v>
      </c>
      <c r="K24" s="12">
        <f t="shared" si="1"/>
        <v>77</v>
      </c>
      <c r="L24" s="12">
        <f t="shared" si="2"/>
        <v>182</v>
      </c>
      <c r="M24" s="12">
        <f t="shared" si="3"/>
        <v>1582</v>
      </c>
      <c r="N24" s="12">
        <f t="shared" si="4"/>
        <v>1323</v>
      </c>
      <c r="O24" s="12">
        <v>122.28</v>
      </c>
      <c r="P24" s="12">
        <f t="shared" si="5"/>
        <v>199.28</v>
      </c>
      <c r="Q24" s="12">
        <f t="shared" si="6"/>
        <v>1200.72</v>
      </c>
    </row>
    <row r="25" spans="1:83" s="9" customFormat="1" ht="20.100000000000001" customHeight="1" x14ac:dyDescent="0.3">
      <c r="A25" s="9">
        <v>23</v>
      </c>
      <c r="B25" s="9" t="s">
        <v>67</v>
      </c>
      <c r="C25" s="9" t="s">
        <v>68</v>
      </c>
      <c r="D25" s="9" t="s">
        <v>42</v>
      </c>
      <c r="E25" s="15">
        <v>46113</v>
      </c>
      <c r="F25" s="15">
        <v>46295</v>
      </c>
      <c r="G25" s="11">
        <v>1400</v>
      </c>
      <c r="H25" s="12">
        <v>1400</v>
      </c>
      <c r="I25" s="13">
        <v>1</v>
      </c>
      <c r="J25" s="12">
        <f t="shared" si="0"/>
        <v>1400</v>
      </c>
      <c r="K25" s="12">
        <f t="shared" si="1"/>
        <v>77</v>
      </c>
      <c r="L25" s="12">
        <f t="shared" si="2"/>
        <v>182</v>
      </c>
      <c r="M25" s="12">
        <f t="shared" si="3"/>
        <v>1582</v>
      </c>
      <c r="N25" s="12">
        <f t="shared" si="4"/>
        <v>1323</v>
      </c>
      <c r="O25" s="12">
        <v>122.28</v>
      </c>
      <c r="P25" s="12">
        <f t="shared" si="5"/>
        <v>199.28</v>
      </c>
      <c r="Q25" s="12">
        <f t="shared" si="6"/>
        <v>1200.72</v>
      </c>
    </row>
    <row r="26" spans="1:83" s="16" customFormat="1" ht="20.100000000000001" customHeight="1" x14ac:dyDescent="0.3">
      <c r="A26" s="9">
        <v>24</v>
      </c>
      <c r="B26" s="9" t="s">
        <v>69</v>
      </c>
      <c r="C26" s="9" t="s">
        <v>70</v>
      </c>
      <c r="D26" s="9" t="s">
        <v>42</v>
      </c>
      <c r="E26" s="15">
        <v>46113</v>
      </c>
      <c r="F26" s="15">
        <v>46295</v>
      </c>
      <c r="G26" s="11">
        <v>1400</v>
      </c>
      <c r="H26" s="12">
        <v>1400</v>
      </c>
      <c r="I26" s="13">
        <v>1</v>
      </c>
      <c r="J26" s="12">
        <f t="shared" si="0"/>
        <v>1400</v>
      </c>
      <c r="K26" s="12">
        <f t="shared" si="1"/>
        <v>77</v>
      </c>
      <c r="L26" s="12">
        <f t="shared" si="2"/>
        <v>182</v>
      </c>
      <c r="M26" s="12">
        <f t="shared" si="3"/>
        <v>1582</v>
      </c>
      <c r="N26" s="12">
        <f t="shared" si="4"/>
        <v>1323</v>
      </c>
      <c r="O26" s="12">
        <v>122.28</v>
      </c>
      <c r="P26" s="12">
        <f t="shared" si="5"/>
        <v>199.28</v>
      </c>
      <c r="Q26" s="12">
        <f t="shared" si="6"/>
        <v>1200.72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</row>
    <row r="27" spans="1:83" s="9" customFormat="1" ht="20.100000000000001" customHeight="1" x14ac:dyDescent="0.3">
      <c r="A27" s="9">
        <v>25</v>
      </c>
      <c r="B27" s="9" t="s">
        <v>71</v>
      </c>
      <c r="C27" s="9" t="s">
        <v>72</v>
      </c>
      <c r="D27" s="9" t="s">
        <v>42</v>
      </c>
      <c r="E27" s="15">
        <v>46113</v>
      </c>
      <c r="F27" s="15">
        <v>46295</v>
      </c>
      <c r="G27" s="11">
        <v>1400</v>
      </c>
      <c r="H27" s="12">
        <v>1400</v>
      </c>
      <c r="I27" s="13">
        <v>1</v>
      </c>
      <c r="J27" s="12">
        <f t="shared" si="0"/>
        <v>1400</v>
      </c>
      <c r="K27" s="12">
        <f t="shared" si="1"/>
        <v>77</v>
      </c>
      <c r="L27" s="12">
        <f t="shared" si="2"/>
        <v>182</v>
      </c>
      <c r="M27" s="12">
        <f t="shared" si="3"/>
        <v>1582</v>
      </c>
      <c r="N27" s="12">
        <f t="shared" si="4"/>
        <v>1323</v>
      </c>
      <c r="O27" s="12">
        <v>122.28</v>
      </c>
      <c r="P27" s="12">
        <f t="shared" si="5"/>
        <v>199.28</v>
      </c>
      <c r="Q27" s="12">
        <f t="shared" si="6"/>
        <v>1200.72</v>
      </c>
    </row>
    <row r="28" spans="1:83" s="9" customFormat="1" ht="20.100000000000001" customHeight="1" x14ac:dyDescent="0.3">
      <c r="A28" s="9">
        <v>26</v>
      </c>
      <c r="B28" s="9" t="s">
        <v>73</v>
      </c>
      <c r="C28" s="18" t="s">
        <v>74</v>
      </c>
      <c r="D28" s="9" t="s">
        <v>42</v>
      </c>
      <c r="E28" s="15">
        <v>46113</v>
      </c>
      <c r="F28" s="15">
        <v>46295</v>
      </c>
      <c r="G28" s="11">
        <v>1400</v>
      </c>
      <c r="H28" s="12">
        <v>1400</v>
      </c>
      <c r="I28" s="13">
        <v>1</v>
      </c>
      <c r="J28" s="12">
        <f t="shared" si="0"/>
        <v>1400</v>
      </c>
      <c r="K28" s="12">
        <f t="shared" si="1"/>
        <v>77</v>
      </c>
      <c r="L28" s="12">
        <f t="shared" si="2"/>
        <v>182</v>
      </c>
      <c r="M28" s="12">
        <f t="shared" si="3"/>
        <v>1582</v>
      </c>
      <c r="N28" s="12">
        <f t="shared" si="4"/>
        <v>1323</v>
      </c>
      <c r="O28" s="12">
        <v>122.28</v>
      </c>
      <c r="P28" s="12">
        <f t="shared" si="5"/>
        <v>199.28</v>
      </c>
      <c r="Q28" s="12">
        <f t="shared" si="6"/>
        <v>1200.72</v>
      </c>
    </row>
    <row r="29" spans="1:83" s="9" customFormat="1" ht="20.100000000000001" customHeight="1" x14ac:dyDescent="0.3">
      <c r="A29" s="9">
        <v>27</v>
      </c>
      <c r="B29" s="9" t="s">
        <v>75</v>
      </c>
      <c r="C29" s="9" t="s">
        <v>76</v>
      </c>
      <c r="D29" s="9" t="s">
        <v>42</v>
      </c>
      <c r="E29" s="15">
        <v>46113</v>
      </c>
      <c r="F29" s="15">
        <v>46295</v>
      </c>
      <c r="G29" s="11">
        <v>1400</v>
      </c>
      <c r="H29" s="12">
        <v>1400</v>
      </c>
      <c r="I29" s="13">
        <v>1</v>
      </c>
      <c r="J29" s="12">
        <f t="shared" si="0"/>
        <v>1400</v>
      </c>
      <c r="K29" s="12">
        <f t="shared" si="1"/>
        <v>77</v>
      </c>
      <c r="L29" s="12">
        <f t="shared" si="2"/>
        <v>182</v>
      </c>
      <c r="M29" s="12">
        <f t="shared" si="3"/>
        <v>1582</v>
      </c>
      <c r="N29" s="12">
        <f t="shared" si="4"/>
        <v>1323</v>
      </c>
      <c r="O29" s="12">
        <v>122.28</v>
      </c>
      <c r="P29" s="12">
        <f t="shared" si="5"/>
        <v>199.28</v>
      </c>
      <c r="Q29" s="12">
        <f t="shared" si="6"/>
        <v>1200.72</v>
      </c>
    </row>
    <row r="30" spans="1:83" s="9" customFormat="1" ht="20.100000000000001" customHeight="1" x14ac:dyDescent="0.3">
      <c r="A30" s="9">
        <v>28</v>
      </c>
      <c r="B30" s="9" t="s">
        <v>77</v>
      </c>
      <c r="C30" s="9" t="s">
        <v>78</v>
      </c>
      <c r="D30" s="9" t="s">
        <v>42</v>
      </c>
      <c r="E30" s="15">
        <v>46113</v>
      </c>
      <c r="F30" s="15">
        <v>46295</v>
      </c>
      <c r="G30" s="11">
        <v>1400</v>
      </c>
      <c r="H30" s="12">
        <v>1400</v>
      </c>
      <c r="I30" s="13">
        <v>1</v>
      </c>
      <c r="J30" s="12">
        <f t="shared" si="0"/>
        <v>1400</v>
      </c>
      <c r="K30" s="12">
        <f t="shared" si="1"/>
        <v>77</v>
      </c>
      <c r="L30" s="12">
        <f t="shared" si="2"/>
        <v>182</v>
      </c>
      <c r="M30" s="12">
        <f t="shared" si="3"/>
        <v>1582</v>
      </c>
      <c r="N30" s="12">
        <f t="shared" si="4"/>
        <v>1323</v>
      </c>
      <c r="O30" s="12">
        <v>122.28</v>
      </c>
      <c r="P30" s="12">
        <f t="shared" si="5"/>
        <v>199.28</v>
      </c>
      <c r="Q30" s="12">
        <f t="shared" si="6"/>
        <v>1200.72</v>
      </c>
    </row>
    <row r="31" spans="1:83" s="9" customFormat="1" ht="20.100000000000001" customHeight="1" x14ac:dyDescent="0.3">
      <c r="A31" s="9">
        <v>29</v>
      </c>
      <c r="B31" s="9" t="s">
        <v>79</v>
      </c>
      <c r="C31" s="9" t="s">
        <v>80</v>
      </c>
      <c r="D31" s="9" t="s">
        <v>42</v>
      </c>
      <c r="E31" s="15">
        <v>46113</v>
      </c>
      <c r="F31" s="15">
        <v>46295</v>
      </c>
      <c r="G31" s="11">
        <v>1400</v>
      </c>
      <c r="H31" s="12">
        <v>1400</v>
      </c>
      <c r="I31" s="13">
        <v>1</v>
      </c>
      <c r="J31" s="12">
        <f t="shared" si="0"/>
        <v>1400</v>
      </c>
      <c r="K31" s="12">
        <f t="shared" si="1"/>
        <v>77</v>
      </c>
      <c r="L31" s="12">
        <f t="shared" si="2"/>
        <v>182</v>
      </c>
      <c r="M31" s="12">
        <f t="shared" si="3"/>
        <v>1582</v>
      </c>
      <c r="N31" s="12">
        <f t="shared" si="4"/>
        <v>1323</v>
      </c>
      <c r="O31" s="12">
        <v>122.28</v>
      </c>
      <c r="P31" s="12">
        <f t="shared" si="5"/>
        <v>199.28</v>
      </c>
      <c r="Q31" s="12">
        <f t="shared" si="6"/>
        <v>1200.72</v>
      </c>
    </row>
    <row r="32" spans="1:83" s="19" customFormat="1" ht="20.100000000000001" customHeight="1" x14ac:dyDescent="0.3">
      <c r="A32" s="9">
        <v>30</v>
      </c>
      <c r="B32" s="9" t="s">
        <v>81</v>
      </c>
      <c r="C32" s="9" t="s">
        <v>82</v>
      </c>
      <c r="D32" s="9" t="s">
        <v>42</v>
      </c>
      <c r="E32" s="15">
        <v>46113</v>
      </c>
      <c r="F32" s="15">
        <v>46295</v>
      </c>
      <c r="G32" s="11">
        <v>1400</v>
      </c>
      <c r="H32" s="12">
        <v>1400</v>
      </c>
      <c r="I32" s="13">
        <v>1</v>
      </c>
      <c r="J32" s="12">
        <f t="shared" si="0"/>
        <v>1400</v>
      </c>
      <c r="K32" s="12">
        <f t="shared" si="1"/>
        <v>77</v>
      </c>
      <c r="L32" s="12">
        <f t="shared" si="2"/>
        <v>182</v>
      </c>
      <c r="M32" s="12">
        <f t="shared" si="3"/>
        <v>1582</v>
      </c>
      <c r="N32" s="12">
        <f t="shared" si="4"/>
        <v>1323</v>
      </c>
      <c r="O32" s="12">
        <v>122.28</v>
      </c>
      <c r="P32" s="12">
        <f t="shared" si="5"/>
        <v>199.28</v>
      </c>
      <c r="Q32" s="12">
        <f t="shared" si="6"/>
        <v>1200.72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</row>
    <row r="33" spans="1:83" s="9" customFormat="1" ht="20.100000000000001" customHeight="1" x14ac:dyDescent="0.3">
      <c r="A33" s="9">
        <v>31</v>
      </c>
      <c r="B33" s="9" t="s">
        <v>83</v>
      </c>
      <c r="C33" s="9" t="s">
        <v>84</v>
      </c>
      <c r="D33" s="9" t="s">
        <v>42</v>
      </c>
      <c r="E33" s="15">
        <v>46113</v>
      </c>
      <c r="F33" s="15">
        <v>46266</v>
      </c>
      <c r="G33" s="11">
        <v>1400</v>
      </c>
      <c r="H33" s="12">
        <v>1400</v>
      </c>
      <c r="I33" s="13">
        <v>1</v>
      </c>
      <c r="J33" s="12">
        <f t="shared" si="0"/>
        <v>1400</v>
      </c>
      <c r="K33" s="12">
        <f t="shared" si="1"/>
        <v>77</v>
      </c>
      <c r="L33" s="12">
        <f t="shared" si="2"/>
        <v>182</v>
      </c>
      <c r="M33" s="12">
        <f t="shared" si="3"/>
        <v>1582</v>
      </c>
      <c r="N33" s="12">
        <f t="shared" si="4"/>
        <v>1323</v>
      </c>
      <c r="O33" s="12">
        <v>122.28</v>
      </c>
      <c r="P33" s="12">
        <f t="shared" si="5"/>
        <v>199.28</v>
      </c>
      <c r="Q33" s="12">
        <f t="shared" si="6"/>
        <v>1200.72</v>
      </c>
    </row>
    <row r="34" spans="1:83" s="16" customFormat="1" ht="20.100000000000001" customHeight="1" x14ac:dyDescent="0.3">
      <c r="A34" s="9">
        <v>32</v>
      </c>
      <c r="B34" s="9" t="s">
        <v>85</v>
      </c>
      <c r="C34" s="9" t="s">
        <v>86</v>
      </c>
      <c r="D34" s="9" t="s">
        <v>87</v>
      </c>
      <c r="E34" s="15">
        <v>46113</v>
      </c>
      <c r="F34" s="15">
        <v>46295</v>
      </c>
      <c r="G34" s="11">
        <v>2500</v>
      </c>
      <c r="H34" s="12">
        <v>2500</v>
      </c>
      <c r="I34" s="13">
        <v>1</v>
      </c>
      <c r="J34" s="12">
        <f t="shared" si="0"/>
        <v>2500</v>
      </c>
      <c r="K34" s="12">
        <f t="shared" si="1"/>
        <v>137.5</v>
      </c>
      <c r="L34" s="12">
        <f t="shared" si="2"/>
        <v>325</v>
      </c>
      <c r="M34" s="12">
        <f t="shared" si="3"/>
        <v>2825</v>
      </c>
      <c r="N34" s="12">
        <f t="shared" si="4"/>
        <v>2362.5</v>
      </c>
      <c r="O34" s="12">
        <v>304.19</v>
      </c>
      <c r="P34" s="12">
        <f t="shared" si="5"/>
        <v>441.69</v>
      </c>
      <c r="Q34" s="12">
        <f t="shared" si="6"/>
        <v>2058.31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</row>
    <row r="35" spans="1:83" s="9" customFormat="1" ht="20.100000000000001" customHeight="1" x14ac:dyDescent="0.3">
      <c r="A35" s="9">
        <v>33</v>
      </c>
      <c r="B35" s="9" t="s">
        <v>88</v>
      </c>
      <c r="C35" s="9" t="s">
        <v>89</v>
      </c>
      <c r="D35" s="9" t="s">
        <v>87</v>
      </c>
      <c r="E35" s="10">
        <v>46143</v>
      </c>
      <c r="F35" s="10">
        <v>46325</v>
      </c>
      <c r="G35" s="11">
        <v>1400</v>
      </c>
      <c r="H35" s="12">
        <v>1400</v>
      </c>
      <c r="I35" s="13">
        <v>1</v>
      </c>
      <c r="J35" s="12">
        <f t="shared" si="0"/>
        <v>1400</v>
      </c>
      <c r="K35" s="12">
        <f t="shared" si="1"/>
        <v>77</v>
      </c>
      <c r="L35" s="12">
        <f t="shared" si="2"/>
        <v>182</v>
      </c>
      <c r="M35" s="12">
        <f t="shared" si="3"/>
        <v>1582</v>
      </c>
      <c r="N35" s="12">
        <f t="shared" si="4"/>
        <v>1323</v>
      </c>
      <c r="O35" s="12">
        <v>122.28</v>
      </c>
      <c r="P35" s="12">
        <f t="shared" si="5"/>
        <v>199.28</v>
      </c>
      <c r="Q35" s="12">
        <f t="shared" si="6"/>
        <v>1200.72</v>
      </c>
    </row>
    <row r="36" spans="1:83" s="9" customFormat="1" ht="20.100000000000001" customHeight="1" x14ac:dyDescent="0.3">
      <c r="A36" s="9">
        <v>34</v>
      </c>
      <c r="B36" s="9" t="s">
        <v>90</v>
      </c>
      <c r="C36" s="9" t="s">
        <v>91</v>
      </c>
      <c r="D36" s="9" t="s">
        <v>87</v>
      </c>
      <c r="E36" s="10">
        <v>46204</v>
      </c>
      <c r="F36" s="10">
        <v>46386</v>
      </c>
      <c r="G36" s="11">
        <v>2500</v>
      </c>
      <c r="H36" s="12">
        <v>2500</v>
      </c>
      <c r="I36" s="13">
        <v>1</v>
      </c>
      <c r="J36" s="12">
        <f t="shared" si="0"/>
        <v>2500</v>
      </c>
      <c r="K36" s="12">
        <f t="shared" si="1"/>
        <v>137.5</v>
      </c>
      <c r="L36" s="12">
        <f t="shared" si="2"/>
        <v>325</v>
      </c>
      <c r="M36" s="12">
        <f t="shared" si="3"/>
        <v>2825</v>
      </c>
      <c r="N36" s="12">
        <f t="shared" si="4"/>
        <v>2362.5</v>
      </c>
      <c r="O36" s="12">
        <v>304.19</v>
      </c>
      <c r="P36" s="12">
        <f t="shared" si="5"/>
        <v>441.69</v>
      </c>
      <c r="Q36" s="12">
        <f t="shared" si="6"/>
        <v>2058.31</v>
      </c>
    </row>
    <row r="37" spans="1:83" s="9" customFormat="1" ht="20.100000000000001" customHeight="1" x14ac:dyDescent="0.3">
      <c r="A37" s="9">
        <v>35</v>
      </c>
      <c r="B37" s="9" t="s">
        <v>92</v>
      </c>
      <c r="C37" s="9" t="s">
        <v>93</v>
      </c>
      <c r="D37" s="9" t="s">
        <v>87</v>
      </c>
      <c r="E37" s="15">
        <v>46113</v>
      </c>
      <c r="F37" s="15">
        <v>46266</v>
      </c>
      <c r="G37" s="11">
        <v>1400</v>
      </c>
      <c r="H37" s="12">
        <v>1400</v>
      </c>
      <c r="I37" s="13">
        <v>1</v>
      </c>
      <c r="J37" s="12">
        <f t="shared" si="0"/>
        <v>1400</v>
      </c>
      <c r="K37" s="12">
        <f t="shared" si="1"/>
        <v>77</v>
      </c>
      <c r="L37" s="12">
        <f t="shared" si="2"/>
        <v>182</v>
      </c>
      <c r="M37" s="12">
        <f t="shared" si="3"/>
        <v>1582</v>
      </c>
      <c r="N37" s="12">
        <f t="shared" si="4"/>
        <v>1323</v>
      </c>
      <c r="O37" s="12">
        <v>122.28</v>
      </c>
      <c r="P37" s="12">
        <f t="shared" si="5"/>
        <v>199.28</v>
      </c>
      <c r="Q37" s="12">
        <f t="shared" si="6"/>
        <v>1200.72</v>
      </c>
    </row>
    <row r="38" spans="1:83" s="16" customFormat="1" ht="20.100000000000001" customHeight="1" x14ac:dyDescent="0.3">
      <c r="A38" s="9">
        <v>36</v>
      </c>
      <c r="B38" s="9" t="s">
        <v>94</v>
      </c>
      <c r="C38" s="9" t="s">
        <v>95</v>
      </c>
      <c r="D38" s="9" t="s">
        <v>96</v>
      </c>
      <c r="E38" s="15">
        <v>46113</v>
      </c>
      <c r="F38" s="15">
        <v>46295</v>
      </c>
      <c r="G38" s="11">
        <v>1400</v>
      </c>
      <c r="H38" s="12">
        <v>1400</v>
      </c>
      <c r="I38" s="13">
        <v>1</v>
      </c>
      <c r="J38" s="12">
        <f t="shared" si="0"/>
        <v>1400</v>
      </c>
      <c r="K38" s="12">
        <f t="shared" si="1"/>
        <v>77</v>
      </c>
      <c r="L38" s="12">
        <f t="shared" si="2"/>
        <v>182</v>
      </c>
      <c r="M38" s="12">
        <f t="shared" si="3"/>
        <v>1582</v>
      </c>
      <c r="N38" s="12">
        <f t="shared" si="4"/>
        <v>1323</v>
      </c>
      <c r="O38" s="12">
        <v>122.28</v>
      </c>
      <c r="P38" s="12">
        <f t="shared" si="5"/>
        <v>199.28</v>
      </c>
      <c r="Q38" s="12">
        <f t="shared" si="6"/>
        <v>1200.72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</row>
    <row r="39" spans="1:83" s="9" customFormat="1" ht="20.100000000000001" customHeight="1" x14ac:dyDescent="0.3">
      <c r="A39" s="9">
        <v>37</v>
      </c>
      <c r="B39" s="9" t="s">
        <v>97</v>
      </c>
      <c r="C39" s="9" t="s">
        <v>98</v>
      </c>
      <c r="D39" s="9" t="s">
        <v>99</v>
      </c>
      <c r="E39" s="15">
        <v>46113</v>
      </c>
      <c r="F39" s="15">
        <v>46295</v>
      </c>
      <c r="G39" s="11">
        <v>1400</v>
      </c>
      <c r="H39" s="12">
        <v>1400</v>
      </c>
      <c r="I39" s="13">
        <v>1</v>
      </c>
      <c r="J39" s="12">
        <f t="shared" si="0"/>
        <v>1400</v>
      </c>
      <c r="K39" s="12">
        <f t="shared" si="1"/>
        <v>77</v>
      </c>
      <c r="L39" s="12">
        <f t="shared" si="2"/>
        <v>182</v>
      </c>
      <c r="M39" s="12">
        <f t="shared" si="3"/>
        <v>1582</v>
      </c>
      <c r="N39" s="12">
        <f t="shared" si="4"/>
        <v>1323</v>
      </c>
      <c r="O39" s="12">
        <v>122.28</v>
      </c>
      <c r="P39" s="12">
        <f t="shared" si="5"/>
        <v>199.28</v>
      </c>
      <c r="Q39" s="12">
        <f t="shared" si="6"/>
        <v>1200.72</v>
      </c>
    </row>
    <row r="40" spans="1:83" s="9" customFormat="1" ht="20.100000000000001" customHeight="1" x14ac:dyDescent="0.3">
      <c r="A40" s="9">
        <v>38</v>
      </c>
      <c r="B40" s="9" t="s">
        <v>100</v>
      </c>
      <c r="C40" s="9" t="s">
        <v>101</v>
      </c>
      <c r="D40" s="9" t="s">
        <v>99</v>
      </c>
      <c r="E40" s="15">
        <v>46113</v>
      </c>
      <c r="F40" s="15">
        <v>46295</v>
      </c>
      <c r="G40" s="11">
        <v>1400</v>
      </c>
      <c r="H40" s="12">
        <v>1400</v>
      </c>
      <c r="I40" s="13">
        <v>1</v>
      </c>
      <c r="J40" s="12">
        <f t="shared" si="0"/>
        <v>1400</v>
      </c>
      <c r="K40" s="12">
        <f t="shared" si="1"/>
        <v>77</v>
      </c>
      <c r="L40" s="12">
        <f t="shared" si="2"/>
        <v>182</v>
      </c>
      <c r="M40" s="12">
        <f t="shared" si="3"/>
        <v>1582</v>
      </c>
      <c r="N40" s="12">
        <f t="shared" si="4"/>
        <v>1323</v>
      </c>
      <c r="O40" s="12">
        <v>122.28</v>
      </c>
      <c r="P40" s="12">
        <f t="shared" si="5"/>
        <v>199.28</v>
      </c>
      <c r="Q40" s="12">
        <f t="shared" si="6"/>
        <v>1200.72</v>
      </c>
    </row>
    <row r="41" spans="1:83" s="9" customFormat="1" ht="20.100000000000001" customHeight="1" x14ac:dyDescent="0.3">
      <c r="A41" s="9">
        <v>39</v>
      </c>
      <c r="B41" s="9" t="s">
        <v>102</v>
      </c>
      <c r="C41" s="9" t="s">
        <v>103</v>
      </c>
      <c r="D41" s="9" t="s">
        <v>104</v>
      </c>
      <c r="E41" s="15">
        <v>46113</v>
      </c>
      <c r="F41" s="15">
        <v>46295</v>
      </c>
      <c r="G41" s="11">
        <v>1400</v>
      </c>
      <c r="H41" s="12">
        <v>1400</v>
      </c>
      <c r="I41" s="13">
        <v>1</v>
      </c>
      <c r="J41" s="12">
        <f t="shared" si="0"/>
        <v>1400</v>
      </c>
      <c r="K41" s="12">
        <f t="shared" si="1"/>
        <v>77</v>
      </c>
      <c r="L41" s="12">
        <f t="shared" si="2"/>
        <v>182</v>
      </c>
      <c r="M41" s="12">
        <f t="shared" si="3"/>
        <v>1582</v>
      </c>
      <c r="N41" s="12">
        <f t="shared" si="4"/>
        <v>1323</v>
      </c>
      <c r="O41" s="12">
        <v>122.28</v>
      </c>
      <c r="P41" s="12">
        <f t="shared" si="5"/>
        <v>199.28</v>
      </c>
      <c r="Q41" s="12">
        <f t="shared" si="6"/>
        <v>1200.72</v>
      </c>
    </row>
    <row r="42" spans="1:83" s="9" customFormat="1" ht="20.100000000000001" customHeight="1" x14ac:dyDescent="0.3">
      <c r="A42" s="9">
        <v>40</v>
      </c>
      <c r="B42" s="9" t="s">
        <v>105</v>
      </c>
      <c r="C42" s="9" t="s">
        <v>106</v>
      </c>
      <c r="D42" s="9" t="s">
        <v>104</v>
      </c>
      <c r="E42" s="15">
        <v>46113</v>
      </c>
      <c r="F42" s="15">
        <v>46295</v>
      </c>
      <c r="G42" s="11">
        <v>1400</v>
      </c>
      <c r="H42" s="12">
        <v>1400</v>
      </c>
      <c r="I42" s="13">
        <v>1</v>
      </c>
      <c r="J42" s="12">
        <f t="shared" si="0"/>
        <v>1400</v>
      </c>
      <c r="K42" s="12">
        <f t="shared" si="1"/>
        <v>77</v>
      </c>
      <c r="L42" s="12">
        <f t="shared" si="2"/>
        <v>182</v>
      </c>
      <c r="M42" s="12">
        <f t="shared" si="3"/>
        <v>1582</v>
      </c>
      <c r="N42" s="12">
        <f t="shared" si="4"/>
        <v>1323</v>
      </c>
      <c r="O42" s="12">
        <v>122.28</v>
      </c>
      <c r="P42" s="12">
        <f t="shared" si="5"/>
        <v>199.28</v>
      </c>
      <c r="Q42" s="12">
        <f t="shared" si="6"/>
        <v>1200.72</v>
      </c>
    </row>
    <row r="43" spans="1:83" s="9" customFormat="1" ht="20.100000000000001" customHeight="1" x14ac:dyDescent="0.3">
      <c r="A43" s="9">
        <v>41</v>
      </c>
      <c r="B43" s="9" t="s">
        <v>107</v>
      </c>
      <c r="C43" s="9" t="s">
        <v>108</v>
      </c>
      <c r="D43" s="9" t="s">
        <v>104</v>
      </c>
      <c r="E43" s="15">
        <v>46113</v>
      </c>
      <c r="F43" s="15">
        <v>46295</v>
      </c>
      <c r="G43" s="11">
        <v>1400</v>
      </c>
      <c r="H43" s="12">
        <v>1400</v>
      </c>
      <c r="I43" s="13">
        <v>1</v>
      </c>
      <c r="J43" s="12">
        <f t="shared" si="0"/>
        <v>1400</v>
      </c>
      <c r="K43" s="12">
        <f t="shared" si="1"/>
        <v>77</v>
      </c>
      <c r="L43" s="12">
        <f t="shared" si="2"/>
        <v>182</v>
      </c>
      <c r="M43" s="12">
        <f t="shared" si="3"/>
        <v>1582</v>
      </c>
      <c r="N43" s="12">
        <f t="shared" si="4"/>
        <v>1323</v>
      </c>
      <c r="O43" s="12">
        <v>122.28</v>
      </c>
      <c r="P43" s="12">
        <f t="shared" si="5"/>
        <v>199.28</v>
      </c>
      <c r="Q43" s="12">
        <f t="shared" si="6"/>
        <v>1200.72</v>
      </c>
    </row>
    <row r="44" spans="1:83" s="9" customFormat="1" ht="20.100000000000001" customHeight="1" x14ac:dyDescent="0.3">
      <c r="A44" s="9">
        <v>42</v>
      </c>
      <c r="B44" s="9" t="s">
        <v>109</v>
      </c>
      <c r="C44" s="9" t="s">
        <v>110</v>
      </c>
      <c r="D44" s="9" t="s">
        <v>104</v>
      </c>
      <c r="E44" s="15">
        <v>46113</v>
      </c>
      <c r="F44" s="15">
        <v>46295</v>
      </c>
      <c r="G44" s="11">
        <v>1400</v>
      </c>
      <c r="H44" s="12">
        <v>1400</v>
      </c>
      <c r="I44" s="13">
        <v>1</v>
      </c>
      <c r="J44" s="12">
        <f t="shared" si="0"/>
        <v>1400</v>
      </c>
      <c r="K44" s="12">
        <f t="shared" si="1"/>
        <v>77</v>
      </c>
      <c r="L44" s="12">
        <f t="shared" si="2"/>
        <v>182</v>
      </c>
      <c r="M44" s="12">
        <f t="shared" si="3"/>
        <v>1582</v>
      </c>
      <c r="N44" s="12">
        <f t="shared" si="4"/>
        <v>1323</v>
      </c>
      <c r="O44" s="12">
        <v>122.28</v>
      </c>
      <c r="P44" s="12">
        <f t="shared" si="5"/>
        <v>199.28</v>
      </c>
      <c r="Q44" s="12">
        <f t="shared" si="6"/>
        <v>1200.72</v>
      </c>
    </row>
    <row r="45" spans="1:83" s="9" customFormat="1" ht="20.100000000000001" customHeight="1" x14ac:dyDescent="0.3">
      <c r="A45" s="9">
        <v>43</v>
      </c>
      <c r="B45" s="9" t="s">
        <v>111</v>
      </c>
      <c r="C45" s="17" t="s">
        <v>112</v>
      </c>
      <c r="D45" s="9" t="s">
        <v>113</v>
      </c>
      <c r="E45" s="15">
        <v>46113</v>
      </c>
      <c r="F45" s="15">
        <v>46295</v>
      </c>
      <c r="G45" s="11">
        <v>1400</v>
      </c>
      <c r="H45" s="12">
        <v>1400</v>
      </c>
      <c r="I45" s="13">
        <v>1</v>
      </c>
      <c r="J45" s="12">
        <f t="shared" si="0"/>
        <v>1400</v>
      </c>
      <c r="K45" s="12">
        <f t="shared" si="1"/>
        <v>77</v>
      </c>
      <c r="L45" s="12">
        <f t="shared" si="2"/>
        <v>182</v>
      </c>
      <c r="M45" s="12">
        <f t="shared" si="3"/>
        <v>1582</v>
      </c>
      <c r="N45" s="12">
        <f t="shared" si="4"/>
        <v>1323</v>
      </c>
      <c r="O45" s="12">
        <v>122.28</v>
      </c>
      <c r="P45" s="12">
        <f t="shared" si="5"/>
        <v>199.28</v>
      </c>
      <c r="Q45" s="12">
        <f t="shared" si="6"/>
        <v>1200.72</v>
      </c>
    </row>
    <row r="46" spans="1:83" s="9" customFormat="1" ht="20.100000000000001" customHeight="1" x14ac:dyDescent="0.3">
      <c r="A46" s="9">
        <v>44</v>
      </c>
      <c r="B46" s="9" t="s">
        <v>114</v>
      </c>
      <c r="C46" s="9" t="s">
        <v>115</v>
      </c>
      <c r="D46" s="9" t="s">
        <v>116</v>
      </c>
      <c r="E46" s="10">
        <v>46113</v>
      </c>
      <c r="F46" s="10">
        <v>46295</v>
      </c>
      <c r="G46" s="11">
        <v>1400</v>
      </c>
      <c r="H46" s="12">
        <v>1400</v>
      </c>
      <c r="I46" s="13">
        <v>1</v>
      </c>
      <c r="J46" s="12">
        <f t="shared" si="0"/>
        <v>1400</v>
      </c>
      <c r="K46" s="12">
        <f t="shared" si="1"/>
        <v>77</v>
      </c>
      <c r="L46" s="12">
        <f t="shared" si="2"/>
        <v>182</v>
      </c>
      <c r="M46" s="12">
        <f t="shared" si="3"/>
        <v>1582</v>
      </c>
      <c r="N46" s="12">
        <f t="shared" si="4"/>
        <v>1323</v>
      </c>
      <c r="O46" s="12">
        <v>122.28</v>
      </c>
      <c r="P46" s="12">
        <f t="shared" si="5"/>
        <v>199.28</v>
      </c>
      <c r="Q46" s="12">
        <f t="shared" si="6"/>
        <v>1200.72</v>
      </c>
    </row>
    <row r="47" spans="1:83" s="9" customFormat="1" ht="20.100000000000001" customHeight="1" x14ac:dyDescent="0.3">
      <c r="A47" s="9">
        <v>45</v>
      </c>
      <c r="B47" s="9" t="s">
        <v>117</v>
      </c>
      <c r="C47" s="9" t="s">
        <v>118</v>
      </c>
      <c r="D47" s="9" t="s">
        <v>116</v>
      </c>
      <c r="E47" s="10">
        <v>46113</v>
      </c>
      <c r="F47" s="10">
        <v>46295</v>
      </c>
      <c r="G47" s="11">
        <v>1400</v>
      </c>
      <c r="H47" s="12">
        <v>1400</v>
      </c>
      <c r="I47" s="13">
        <v>1</v>
      </c>
      <c r="J47" s="12">
        <f t="shared" si="0"/>
        <v>1400</v>
      </c>
      <c r="K47" s="12">
        <f t="shared" si="1"/>
        <v>77</v>
      </c>
      <c r="L47" s="12">
        <f t="shared" si="2"/>
        <v>182</v>
      </c>
      <c r="M47" s="12">
        <f t="shared" si="3"/>
        <v>1582</v>
      </c>
      <c r="N47" s="12">
        <f t="shared" si="4"/>
        <v>1323</v>
      </c>
      <c r="O47" s="12">
        <v>122.28</v>
      </c>
      <c r="P47" s="12">
        <f t="shared" si="5"/>
        <v>199.28</v>
      </c>
      <c r="Q47" s="12">
        <f t="shared" si="6"/>
        <v>1200.72</v>
      </c>
    </row>
    <row r="48" spans="1:83" s="9" customFormat="1" ht="20.100000000000001" customHeight="1" x14ac:dyDescent="0.3">
      <c r="A48" s="9">
        <v>46</v>
      </c>
      <c r="B48" s="9" t="s">
        <v>119</v>
      </c>
      <c r="C48" s="9" t="s">
        <v>120</v>
      </c>
      <c r="D48" s="9" t="s">
        <v>121</v>
      </c>
      <c r="E48" s="15">
        <v>46113</v>
      </c>
      <c r="F48" s="15">
        <v>46295</v>
      </c>
      <c r="G48" s="11">
        <v>1400</v>
      </c>
      <c r="H48" s="12">
        <v>1400</v>
      </c>
      <c r="I48" s="13">
        <v>1</v>
      </c>
      <c r="J48" s="12">
        <f t="shared" si="0"/>
        <v>1400</v>
      </c>
      <c r="K48" s="12">
        <f t="shared" si="1"/>
        <v>77</v>
      </c>
      <c r="L48" s="12">
        <f t="shared" si="2"/>
        <v>182</v>
      </c>
      <c r="M48" s="12">
        <f t="shared" si="3"/>
        <v>1582</v>
      </c>
      <c r="N48" s="12">
        <f t="shared" si="4"/>
        <v>1323</v>
      </c>
      <c r="O48" s="12">
        <v>122.28</v>
      </c>
      <c r="P48" s="12">
        <f t="shared" si="5"/>
        <v>199.28</v>
      </c>
      <c r="Q48" s="12">
        <f t="shared" si="6"/>
        <v>1200.72</v>
      </c>
    </row>
    <row r="49" spans="1:83" s="9" customFormat="1" ht="20.100000000000001" customHeight="1" x14ac:dyDescent="0.3">
      <c r="A49" s="9">
        <v>47</v>
      </c>
      <c r="B49" s="9" t="s">
        <v>122</v>
      </c>
      <c r="C49" s="9" t="s">
        <v>123</v>
      </c>
      <c r="D49" s="9" t="s">
        <v>124</v>
      </c>
      <c r="E49" s="15">
        <v>46113</v>
      </c>
      <c r="F49" s="15">
        <v>46295</v>
      </c>
      <c r="G49" s="11">
        <v>1400</v>
      </c>
      <c r="H49" s="12">
        <v>1400</v>
      </c>
      <c r="I49" s="13">
        <v>1</v>
      </c>
      <c r="J49" s="12">
        <f t="shared" si="0"/>
        <v>1400</v>
      </c>
      <c r="K49" s="12">
        <f t="shared" si="1"/>
        <v>77</v>
      </c>
      <c r="L49" s="12">
        <f t="shared" si="2"/>
        <v>182</v>
      </c>
      <c r="M49" s="12">
        <f t="shared" si="3"/>
        <v>1582</v>
      </c>
      <c r="N49" s="12">
        <f t="shared" si="4"/>
        <v>1323</v>
      </c>
      <c r="O49" s="12">
        <v>122.28</v>
      </c>
      <c r="P49" s="12">
        <f t="shared" si="5"/>
        <v>199.28</v>
      </c>
      <c r="Q49" s="12">
        <f t="shared" si="6"/>
        <v>1200.72</v>
      </c>
    </row>
    <row r="50" spans="1:83" s="9" customFormat="1" ht="20.100000000000001" customHeight="1" x14ac:dyDescent="0.3">
      <c r="A50" s="9">
        <v>48</v>
      </c>
      <c r="B50" s="9" t="s">
        <v>125</v>
      </c>
      <c r="C50" s="9" t="s">
        <v>126</v>
      </c>
      <c r="D50" s="9" t="s">
        <v>124</v>
      </c>
      <c r="E50" s="15">
        <v>46113</v>
      </c>
      <c r="F50" s="15">
        <v>46295</v>
      </c>
      <c r="G50" s="11">
        <v>1400</v>
      </c>
      <c r="H50" s="12">
        <v>1400</v>
      </c>
      <c r="I50" s="13">
        <v>1</v>
      </c>
      <c r="J50" s="12">
        <f t="shared" si="0"/>
        <v>1400</v>
      </c>
      <c r="K50" s="12">
        <f t="shared" si="1"/>
        <v>77</v>
      </c>
      <c r="L50" s="12">
        <f t="shared" si="2"/>
        <v>182</v>
      </c>
      <c r="M50" s="12">
        <f t="shared" si="3"/>
        <v>1582</v>
      </c>
      <c r="N50" s="12">
        <f t="shared" si="4"/>
        <v>1323</v>
      </c>
      <c r="O50" s="12">
        <v>122.28</v>
      </c>
      <c r="P50" s="12">
        <f t="shared" si="5"/>
        <v>199.28</v>
      </c>
      <c r="Q50" s="12">
        <f t="shared" si="6"/>
        <v>1200.72</v>
      </c>
    </row>
    <row r="51" spans="1:83" s="9" customFormat="1" ht="20.100000000000001" customHeight="1" x14ac:dyDescent="0.3">
      <c r="A51" s="9">
        <v>49</v>
      </c>
      <c r="B51" s="9" t="s">
        <v>127</v>
      </c>
      <c r="C51" s="17" t="s">
        <v>128</v>
      </c>
      <c r="D51" s="9" t="s">
        <v>23</v>
      </c>
      <c r="E51" s="10">
        <v>46143</v>
      </c>
      <c r="F51" s="10">
        <v>46325</v>
      </c>
      <c r="G51" s="11">
        <v>1400</v>
      </c>
      <c r="H51" s="12">
        <v>1400</v>
      </c>
      <c r="I51" s="13">
        <v>1</v>
      </c>
      <c r="J51" s="12">
        <f t="shared" si="0"/>
        <v>1400</v>
      </c>
      <c r="K51" s="12">
        <f t="shared" si="1"/>
        <v>77</v>
      </c>
      <c r="L51" s="12">
        <f t="shared" si="2"/>
        <v>182</v>
      </c>
      <c r="M51" s="12">
        <f t="shared" si="3"/>
        <v>1582</v>
      </c>
      <c r="N51" s="12">
        <f t="shared" si="4"/>
        <v>1323</v>
      </c>
      <c r="O51" s="12">
        <v>122.28</v>
      </c>
      <c r="P51" s="12">
        <f t="shared" si="5"/>
        <v>199.28</v>
      </c>
      <c r="Q51" s="12">
        <f t="shared" si="6"/>
        <v>1200.72</v>
      </c>
    </row>
    <row r="52" spans="1:83" s="9" customFormat="1" ht="20.100000000000001" customHeight="1" x14ac:dyDescent="0.3">
      <c r="A52" s="9">
        <v>50</v>
      </c>
      <c r="B52" s="9" t="s">
        <v>129</v>
      </c>
      <c r="C52" s="9" t="s">
        <v>130</v>
      </c>
      <c r="D52" s="9" t="s">
        <v>23</v>
      </c>
      <c r="E52" s="15">
        <v>46113</v>
      </c>
      <c r="F52" s="15">
        <v>46295</v>
      </c>
      <c r="G52" s="11">
        <v>1400</v>
      </c>
      <c r="H52" s="12">
        <v>1400</v>
      </c>
      <c r="I52" s="13">
        <v>1</v>
      </c>
      <c r="J52" s="12">
        <f t="shared" si="0"/>
        <v>1400</v>
      </c>
      <c r="K52" s="12">
        <f t="shared" si="1"/>
        <v>77</v>
      </c>
      <c r="L52" s="12">
        <f t="shared" si="2"/>
        <v>182</v>
      </c>
      <c r="M52" s="12">
        <f t="shared" si="3"/>
        <v>1582</v>
      </c>
      <c r="N52" s="12">
        <f t="shared" si="4"/>
        <v>1323</v>
      </c>
      <c r="O52" s="12">
        <v>122.28</v>
      </c>
      <c r="P52" s="12">
        <f t="shared" si="5"/>
        <v>199.28</v>
      </c>
      <c r="Q52" s="12">
        <f t="shared" si="6"/>
        <v>1200.72</v>
      </c>
    </row>
    <row r="53" spans="1:83" s="20" customFormat="1" ht="20.100000000000001" customHeight="1" x14ac:dyDescent="0.3">
      <c r="A53" s="9">
        <v>51</v>
      </c>
      <c r="B53" s="9" t="s">
        <v>131</v>
      </c>
      <c r="C53" s="9" t="s">
        <v>132</v>
      </c>
      <c r="D53" s="9" t="s">
        <v>87</v>
      </c>
      <c r="E53" s="15">
        <v>46113</v>
      </c>
      <c r="F53" s="15">
        <v>46266</v>
      </c>
      <c r="G53" s="11">
        <v>1400</v>
      </c>
      <c r="H53" s="12">
        <v>1400</v>
      </c>
      <c r="I53" s="13">
        <v>1</v>
      </c>
      <c r="J53" s="12">
        <f t="shared" si="0"/>
        <v>1400</v>
      </c>
      <c r="K53" s="12">
        <f t="shared" si="1"/>
        <v>77</v>
      </c>
      <c r="L53" s="12">
        <f t="shared" si="2"/>
        <v>182</v>
      </c>
      <c r="M53" s="12">
        <f t="shared" si="3"/>
        <v>1582</v>
      </c>
      <c r="N53" s="12">
        <f t="shared" si="4"/>
        <v>1323</v>
      </c>
      <c r="O53" s="12">
        <v>122.28</v>
      </c>
      <c r="P53" s="12">
        <f t="shared" si="5"/>
        <v>199.28</v>
      </c>
      <c r="Q53" s="12">
        <f t="shared" si="6"/>
        <v>1200.72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</row>
    <row r="54" spans="1:83" s="9" customFormat="1" ht="20.100000000000001" customHeight="1" x14ac:dyDescent="0.3">
      <c r="A54" s="9">
        <v>52</v>
      </c>
      <c r="B54" s="9" t="s">
        <v>133</v>
      </c>
      <c r="C54" s="9" t="s">
        <v>134</v>
      </c>
      <c r="D54" s="9" t="s">
        <v>87</v>
      </c>
      <c r="E54" s="15">
        <v>46113</v>
      </c>
      <c r="F54" s="15">
        <v>46266</v>
      </c>
      <c r="G54" s="11">
        <v>1400</v>
      </c>
      <c r="H54" s="12">
        <v>1400</v>
      </c>
      <c r="I54" s="13">
        <v>1</v>
      </c>
      <c r="J54" s="12">
        <f t="shared" si="0"/>
        <v>1400</v>
      </c>
      <c r="K54" s="12">
        <f t="shared" si="1"/>
        <v>77</v>
      </c>
      <c r="L54" s="12">
        <f t="shared" si="2"/>
        <v>182</v>
      </c>
      <c r="M54" s="12">
        <f t="shared" si="3"/>
        <v>1582</v>
      </c>
      <c r="N54" s="12">
        <f t="shared" si="4"/>
        <v>1323</v>
      </c>
      <c r="O54" s="12">
        <v>122.28</v>
      </c>
      <c r="P54" s="12">
        <f t="shared" si="5"/>
        <v>199.28</v>
      </c>
      <c r="Q54" s="12">
        <f t="shared" si="6"/>
        <v>1200.72</v>
      </c>
    </row>
    <row r="55" spans="1:83" s="9" customFormat="1" ht="20.100000000000001" customHeight="1" x14ac:dyDescent="0.3">
      <c r="A55" s="9">
        <v>53</v>
      </c>
      <c r="B55" s="9" t="s">
        <v>135</v>
      </c>
      <c r="C55" s="9" t="s">
        <v>136</v>
      </c>
      <c r="D55" s="9" t="s">
        <v>87</v>
      </c>
      <c r="E55" s="15">
        <v>46113</v>
      </c>
      <c r="F55" s="15">
        <v>46266</v>
      </c>
      <c r="G55" s="11">
        <v>1400</v>
      </c>
      <c r="H55" s="12">
        <v>1400</v>
      </c>
      <c r="I55" s="13">
        <v>1</v>
      </c>
      <c r="J55" s="12">
        <f t="shared" si="0"/>
        <v>1400</v>
      </c>
      <c r="K55" s="12">
        <f t="shared" si="1"/>
        <v>77</v>
      </c>
      <c r="L55" s="12">
        <f t="shared" si="2"/>
        <v>182</v>
      </c>
      <c r="M55" s="12">
        <f t="shared" si="3"/>
        <v>1582</v>
      </c>
      <c r="N55" s="12">
        <f t="shared" si="4"/>
        <v>1323</v>
      </c>
      <c r="O55" s="12">
        <v>122.28</v>
      </c>
      <c r="P55" s="12">
        <f t="shared" si="5"/>
        <v>199.28</v>
      </c>
      <c r="Q55" s="12">
        <f t="shared" si="6"/>
        <v>1200.72</v>
      </c>
    </row>
    <row r="56" spans="1:83" s="9" customFormat="1" ht="20.100000000000001" customHeight="1" x14ac:dyDescent="0.3">
      <c r="A56" s="9">
        <v>54</v>
      </c>
      <c r="B56" s="9" t="s">
        <v>137</v>
      </c>
      <c r="C56" s="9" t="s">
        <v>138</v>
      </c>
      <c r="D56" s="9" t="s">
        <v>87</v>
      </c>
      <c r="E56" s="15">
        <v>46113</v>
      </c>
      <c r="F56" s="15">
        <v>46266</v>
      </c>
      <c r="G56" s="11">
        <v>2500</v>
      </c>
      <c r="H56" s="12">
        <v>2500</v>
      </c>
      <c r="I56" s="13">
        <v>1</v>
      </c>
      <c r="J56" s="12">
        <f t="shared" si="0"/>
        <v>2500</v>
      </c>
      <c r="K56" s="12">
        <f t="shared" si="1"/>
        <v>137.5</v>
      </c>
      <c r="L56" s="12">
        <f t="shared" si="2"/>
        <v>325</v>
      </c>
      <c r="M56" s="12">
        <f t="shared" si="3"/>
        <v>2825</v>
      </c>
      <c r="N56" s="12">
        <f t="shared" si="4"/>
        <v>2362.5</v>
      </c>
      <c r="O56" s="12">
        <v>304.19</v>
      </c>
      <c r="P56" s="12">
        <f t="shared" si="5"/>
        <v>441.69</v>
      </c>
      <c r="Q56" s="12">
        <f t="shared" si="6"/>
        <v>2058.31</v>
      </c>
    </row>
    <row r="57" spans="1:83" s="9" customFormat="1" ht="20.100000000000001" customHeight="1" x14ac:dyDescent="0.3">
      <c r="A57" s="9">
        <v>55</v>
      </c>
      <c r="B57" s="9" t="s">
        <v>139</v>
      </c>
      <c r="C57" s="9" t="s">
        <v>140</v>
      </c>
      <c r="D57" s="9" t="s">
        <v>87</v>
      </c>
      <c r="E57" s="15">
        <v>46113</v>
      </c>
      <c r="F57" s="15">
        <v>46266</v>
      </c>
      <c r="G57" s="11">
        <v>2500</v>
      </c>
      <c r="H57" s="12">
        <v>2500</v>
      </c>
      <c r="I57" s="13">
        <v>1</v>
      </c>
      <c r="J57" s="12">
        <f t="shared" si="0"/>
        <v>2500</v>
      </c>
      <c r="K57" s="12">
        <f t="shared" si="1"/>
        <v>137.5</v>
      </c>
      <c r="L57" s="12">
        <f t="shared" si="2"/>
        <v>325</v>
      </c>
      <c r="M57" s="12">
        <f t="shared" si="3"/>
        <v>2825</v>
      </c>
      <c r="N57" s="12">
        <f t="shared" si="4"/>
        <v>2362.5</v>
      </c>
      <c r="O57" s="12">
        <v>304.19</v>
      </c>
      <c r="P57" s="12">
        <f t="shared" si="5"/>
        <v>441.69</v>
      </c>
      <c r="Q57" s="12">
        <f t="shared" si="6"/>
        <v>2058.31</v>
      </c>
    </row>
    <row r="58" spans="1:83" s="9" customFormat="1" ht="20.100000000000001" customHeight="1" x14ac:dyDescent="0.3">
      <c r="A58" s="9">
        <v>56</v>
      </c>
      <c r="B58" s="9" t="s">
        <v>141</v>
      </c>
      <c r="C58" s="17" t="s">
        <v>142</v>
      </c>
      <c r="D58" s="9" t="s">
        <v>143</v>
      </c>
      <c r="E58" s="10">
        <v>46146</v>
      </c>
      <c r="F58" s="10">
        <v>46325</v>
      </c>
      <c r="G58" s="11">
        <v>1400</v>
      </c>
      <c r="H58" s="12">
        <v>1400</v>
      </c>
      <c r="I58" s="13">
        <v>1</v>
      </c>
      <c r="J58" s="12">
        <f t="shared" si="0"/>
        <v>1400</v>
      </c>
      <c r="K58" s="12">
        <f t="shared" si="1"/>
        <v>77</v>
      </c>
      <c r="L58" s="12">
        <f t="shared" si="2"/>
        <v>182</v>
      </c>
      <c r="M58" s="12">
        <f t="shared" si="3"/>
        <v>1582</v>
      </c>
      <c r="N58" s="12">
        <f t="shared" si="4"/>
        <v>1323</v>
      </c>
      <c r="O58" s="12">
        <v>122.28</v>
      </c>
      <c r="P58" s="12">
        <f t="shared" si="5"/>
        <v>199.28</v>
      </c>
      <c r="Q58" s="12">
        <f t="shared" si="6"/>
        <v>1200.72</v>
      </c>
    </row>
    <row r="59" spans="1:83" s="9" customFormat="1" ht="20.100000000000001" customHeight="1" x14ac:dyDescent="0.3">
      <c r="A59" s="9">
        <v>57</v>
      </c>
      <c r="B59" s="9" t="s">
        <v>144</v>
      </c>
      <c r="C59" s="17" t="s">
        <v>145</v>
      </c>
      <c r="D59" s="9" t="s">
        <v>42</v>
      </c>
      <c r="E59" s="10">
        <v>46083</v>
      </c>
      <c r="F59" s="10">
        <v>46265</v>
      </c>
      <c r="G59" s="11">
        <v>1400</v>
      </c>
      <c r="H59" s="12">
        <v>1400</v>
      </c>
      <c r="I59" s="13">
        <v>1</v>
      </c>
      <c r="J59" s="12">
        <f t="shared" si="0"/>
        <v>1400</v>
      </c>
      <c r="K59" s="12">
        <f t="shared" si="1"/>
        <v>77</v>
      </c>
      <c r="L59" s="12">
        <f t="shared" si="2"/>
        <v>182</v>
      </c>
      <c r="M59" s="12">
        <f t="shared" si="3"/>
        <v>1582</v>
      </c>
      <c r="N59" s="12">
        <f t="shared" si="4"/>
        <v>1323</v>
      </c>
      <c r="O59" s="12">
        <v>122.28</v>
      </c>
      <c r="P59" s="12">
        <f t="shared" si="5"/>
        <v>199.28</v>
      </c>
      <c r="Q59" s="12">
        <f t="shared" si="6"/>
        <v>1200.72</v>
      </c>
    </row>
    <row r="60" spans="1:83" s="9" customFormat="1" ht="20.100000000000001" customHeight="1" x14ac:dyDescent="0.3">
      <c r="A60" s="9">
        <v>58</v>
      </c>
      <c r="B60" s="9" t="s">
        <v>146</v>
      </c>
      <c r="C60" s="9" t="s">
        <v>147</v>
      </c>
      <c r="D60" s="9" t="s">
        <v>23</v>
      </c>
      <c r="E60" s="15">
        <v>46113</v>
      </c>
      <c r="F60" s="15">
        <v>46295</v>
      </c>
      <c r="G60" s="11">
        <v>1400</v>
      </c>
      <c r="H60" s="12">
        <v>1400</v>
      </c>
      <c r="I60" s="13">
        <v>1</v>
      </c>
      <c r="J60" s="12">
        <f t="shared" si="0"/>
        <v>1400</v>
      </c>
      <c r="K60" s="12">
        <f t="shared" si="1"/>
        <v>77</v>
      </c>
      <c r="L60" s="12">
        <f t="shared" si="2"/>
        <v>182</v>
      </c>
      <c r="M60" s="12">
        <f t="shared" si="3"/>
        <v>1582</v>
      </c>
      <c r="N60" s="12">
        <f t="shared" si="4"/>
        <v>1323</v>
      </c>
      <c r="O60" s="12">
        <v>122.28</v>
      </c>
      <c r="P60" s="12">
        <f t="shared" si="5"/>
        <v>199.28</v>
      </c>
      <c r="Q60" s="12">
        <f t="shared" si="6"/>
        <v>1200.72</v>
      </c>
    </row>
    <row r="61" spans="1:83" s="16" customFormat="1" ht="20.100000000000001" customHeight="1" x14ac:dyDescent="0.3">
      <c r="A61" s="9">
        <v>59</v>
      </c>
      <c r="B61" s="9" t="s">
        <v>148</v>
      </c>
      <c r="C61" s="17" t="s">
        <v>149</v>
      </c>
      <c r="D61" s="9" t="s">
        <v>23</v>
      </c>
      <c r="E61" s="15">
        <v>46113</v>
      </c>
      <c r="F61" s="15">
        <v>46295</v>
      </c>
      <c r="G61" s="11">
        <v>1400</v>
      </c>
      <c r="H61" s="12">
        <v>1400</v>
      </c>
      <c r="I61" s="13">
        <v>1</v>
      </c>
      <c r="J61" s="12">
        <f t="shared" si="0"/>
        <v>1400</v>
      </c>
      <c r="K61" s="12">
        <f t="shared" si="1"/>
        <v>77</v>
      </c>
      <c r="L61" s="12">
        <f t="shared" si="2"/>
        <v>182</v>
      </c>
      <c r="M61" s="12">
        <f t="shared" si="3"/>
        <v>1582</v>
      </c>
      <c r="N61" s="12">
        <f t="shared" si="4"/>
        <v>1323</v>
      </c>
      <c r="O61" s="12">
        <v>122.28</v>
      </c>
      <c r="P61" s="12">
        <f t="shared" si="5"/>
        <v>199.28</v>
      </c>
      <c r="Q61" s="12">
        <f t="shared" si="6"/>
        <v>1200.72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</row>
    <row r="62" spans="1:83" s="16" customFormat="1" ht="21" customHeight="1" x14ac:dyDescent="0.3">
      <c r="A62" s="9">
        <v>60</v>
      </c>
      <c r="B62" s="9" t="s">
        <v>150</v>
      </c>
      <c r="C62" s="9" t="s">
        <v>151</v>
      </c>
      <c r="D62" s="9" t="s">
        <v>23</v>
      </c>
      <c r="E62" s="15">
        <v>46113</v>
      </c>
      <c r="F62" s="15">
        <v>46295</v>
      </c>
      <c r="G62" s="11">
        <v>1400</v>
      </c>
      <c r="H62" s="12">
        <v>1400</v>
      </c>
      <c r="I62" s="13">
        <v>1</v>
      </c>
      <c r="J62" s="12">
        <f t="shared" si="0"/>
        <v>1400</v>
      </c>
      <c r="K62" s="12">
        <f t="shared" si="1"/>
        <v>77</v>
      </c>
      <c r="L62" s="12">
        <f t="shared" si="2"/>
        <v>182</v>
      </c>
      <c r="M62" s="12">
        <f t="shared" si="3"/>
        <v>1582</v>
      </c>
      <c r="N62" s="12">
        <f t="shared" si="4"/>
        <v>1323</v>
      </c>
      <c r="O62" s="12">
        <v>122.28</v>
      </c>
      <c r="P62" s="12">
        <f t="shared" si="5"/>
        <v>199.28</v>
      </c>
      <c r="Q62" s="12">
        <f t="shared" si="6"/>
        <v>1200.72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</row>
    <row r="63" spans="1:83" s="9" customFormat="1" ht="20.100000000000001" customHeight="1" x14ac:dyDescent="0.3">
      <c r="A63" s="9">
        <v>61</v>
      </c>
      <c r="B63" s="9" t="s">
        <v>152</v>
      </c>
      <c r="C63" s="9" t="s">
        <v>153</v>
      </c>
      <c r="D63" s="9" t="s">
        <v>23</v>
      </c>
      <c r="E63" s="10">
        <v>46113</v>
      </c>
      <c r="F63" s="10">
        <v>46295</v>
      </c>
      <c r="G63" s="11">
        <v>1400</v>
      </c>
      <c r="H63" s="12">
        <v>1400</v>
      </c>
      <c r="I63" s="13">
        <v>1</v>
      </c>
      <c r="J63" s="12">
        <f t="shared" si="0"/>
        <v>1400</v>
      </c>
      <c r="K63" s="12">
        <f t="shared" si="1"/>
        <v>77</v>
      </c>
      <c r="L63" s="12">
        <f t="shared" si="2"/>
        <v>182</v>
      </c>
      <c r="M63" s="12">
        <f t="shared" si="3"/>
        <v>1582</v>
      </c>
      <c r="N63" s="12">
        <f t="shared" si="4"/>
        <v>1323</v>
      </c>
      <c r="O63" s="12">
        <v>122.28</v>
      </c>
      <c r="P63" s="12">
        <f t="shared" si="5"/>
        <v>199.28</v>
      </c>
      <c r="Q63" s="12">
        <f t="shared" si="6"/>
        <v>1200.72</v>
      </c>
    </row>
    <row r="64" spans="1:83" s="9" customFormat="1" ht="20.100000000000001" customHeight="1" x14ac:dyDescent="0.3">
      <c r="A64" s="9">
        <v>62</v>
      </c>
      <c r="B64" s="9" t="s">
        <v>154</v>
      </c>
      <c r="C64" s="9" t="s">
        <v>155</v>
      </c>
      <c r="D64" s="9" t="s">
        <v>23</v>
      </c>
      <c r="E64" s="10">
        <v>46113</v>
      </c>
      <c r="F64" s="10">
        <v>46295</v>
      </c>
      <c r="G64" s="11">
        <v>1400</v>
      </c>
      <c r="H64" s="12">
        <v>1400</v>
      </c>
      <c r="I64" s="13">
        <v>1</v>
      </c>
      <c r="J64" s="12">
        <f t="shared" si="0"/>
        <v>1400</v>
      </c>
      <c r="K64" s="12">
        <f t="shared" si="1"/>
        <v>77</v>
      </c>
      <c r="L64" s="12">
        <f t="shared" si="2"/>
        <v>182</v>
      </c>
      <c r="M64" s="12">
        <f t="shared" si="3"/>
        <v>1582</v>
      </c>
      <c r="N64" s="12">
        <f t="shared" si="4"/>
        <v>1323</v>
      </c>
      <c r="O64" s="12">
        <v>122.28</v>
      </c>
      <c r="P64" s="12">
        <f t="shared" si="5"/>
        <v>199.28</v>
      </c>
      <c r="Q64" s="12">
        <f t="shared" si="6"/>
        <v>1200.72</v>
      </c>
    </row>
    <row r="65" spans="1:17" s="9" customFormat="1" ht="20.100000000000001" customHeight="1" x14ac:dyDescent="0.3">
      <c r="A65" s="9">
        <v>63</v>
      </c>
      <c r="B65" s="9" t="s">
        <v>156</v>
      </c>
      <c r="C65" s="17" t="s">
        <v>157</v>
      </c>
      <c r="D65" s="9" t="s">
        <v>23</v>
      </c>
      <c r="E65" s="15">
        <v>46113</v>
      </c>
      <c r="F65" s="15">
        <v>46295</v>
      </c>
      <c r="G65" s="11">
        <v>1400</v>
      </c>
      <c r="H65" s="12">
        <v>1400</v>
      </c>
      <c r="I65" s="13">
        <v>1</v>
      </c>
      <c r="J65" s="12">
        <f t="shared" si="0"/>
        <v>1400</v>
      </c>
      <c r="K65" s="12">
        <f t="shared" si="1"/>
        <v>77</v>
      </c>
      <c r="L65" s="12">
        <f t="shared" si="2"/>
        <v>182</v>
      </c>
      <c r="M65" s="12">
        <f t="shared" si="3"/>
        <v>1582</v>
      </c>
      <c r="N65" s="12">
        <f t="shared" si="4"/>
        <v>1323</v>
      </c>
      <c r="O65" s="12">
        <v>122.28</v>
      </c>
      <c r="P65" s="12">
        <f t="shared" si="5"/>
        <v>199.28</v>
      </c>
      <c r="Q65" s="12">
        <f t="shared" si="6"/>
        <v>1200.72</v>
      </c>
    </row>
    <row r="66" spans="1:17" s="9" customFormat="1" ht="20.100000000000001" customHeight="1" x14ac:dyDescent="0.3">
      <c r="A66" s="9">
        <v>64</v>
      </c>
      <c r="B66" s="9" t="s">
        <v>158</v>
      </c>
      <c r="C66" s="9" t="s">
        <v>159</v>
      </c>
      <c r="D66" s="9" t="s">
        <v>23</v>
      </c>
      <c r="E66" s="10">
        <v>46113</v>
      </c>
      <c r="F66" s="10">
        <v>46295</v>
      </c>
      <c r="G66" s="11">
        <v>1400</v>
      </c>
      <c r="H66" s="12">
        <v>1400</v>
      </c>
      <c r="I66" s="13">
        <v>1</v>
      </c>
      <c r="J66" s="12">
        <f t="shared" si="0"/>
        <v>1400</v>
      </c>
      <c r="K66" s="12">
        <f t="shared" si="1"/>
        <v>77</v>
      </c>
      <c r="L66" s="12">
        <f t="shared" si="2"/>
        <v>182</v>
      </c>
      <c r="M66" s="12">
        <f t="shared" si="3"/>
        <v>1582</v>
      </c>
      <c r="N66" s="12">
        <f t="shared" si="4"/>
        <v>1323</v>
      </c>
      <c r="O66" s="12">
        <v>122.28</v>
      </c>
      <c r="P66" s="12">
        <f t="shared" si="5"/>
        <v>199.28</v>
      </c>
      <c r="Q66" s="12">
        <f t="shared" si="6"/>
        <v>1200.72</v>
      </c>
    </row>
    <row r="67" spans="1:17" s="9" customFormat="1" ht="20.100000000000001" customHeight="1" x14ac:dyDescent="0.3">
      <c r="A67" s="9">
        <v>65</v>
      </c>
      <c r="B67" s="9" t="s">
        <v>160</v>
      </c>
      <c r="C67" s="9" t="s">
        <v>161</v>
      </c>
      <c r="D67" s="9" t="s">
        <v>23</v>
      </c>
      <c r="E67" s="10">
        <v>46113</v>
      </c>
      <c r="F67" s="10">
        <v>46295</v>
      </c>
      <c r="G67" s="11">
        <v>1400</v>
      </c>
      <c r="H67" s="12">
        <v>1400</v>
      </c>
      <c r="I67" s="13">
        <v>1</v>
      </c>
      <c r="J67" s="12">
        <f t="shared" ref="J67:J130" si="7">H67*I67</f>
        <v>1400</v>
      </c>
      <c r="K67" s="12">
        <f t="shared" ref="K67:K130" si="8">J67*0.055</f>
        <v>77</v>
      </c>
      <c r="L67" s="12">
        <f t="shared" ref="L67:L130" si="9">0.13*J67</f>
        <v>182</v>
      </c>
      <c r="M67" s="12">
        <f t="shared" ref="M67:M130" si="10">J67+L67</f>
        <v>1582</v>
      </c>
      <c r="N67" s="12">
        <f t="shared" ref="N67:N130" si="11">J67-K67</f>
        <v>1323</v>
      </c>
      <c r="O67" s="12">
        <v>122.28</v>
      </c>
      <c r="P67" s="12">
        <f t="shared" ref="P67:P86" si="12">K67+O67</f>
        <v>199.28</v>
      </c>
      <c r="Q67" s="12">
        <f t="shared" ref="Q67:Q130" si="13">J67-P67</f>
        <v>1200.72</v>
      </c>
    </row>
    <row r="68" spans="1:17" s="9" customFormat="1" ht="20.100000000000001" customHeight="1" x14ac:dyDescent="0.3">
      <c r="A68" s="9">
        <v>66</v>
      </c>
      <c r="B68" s="9" t="s">
        <v>162</v>
      </c>
      <c r="C68" s="9" t="s">
        <v>163</v>
      </c>
      <c r="D68" s="9" t="s">
        <v>23</v>
      </c>
      <c r="E68" s="10">
        <v>46113</v>
      </c>
      <c r="F68" s="10">
        <v>46295</v>
      </c>
      <c r="G68" s="11">
        <v>1400</v>
      </c>
      <c r="H68" s="12">
        <v>1400</v>
      </c>
      <c r="I68" s="13">
        <v>1</v>
      </c>
      <c r="J68" s="12">
        <f t="shared" si="7"/>
        <v>1400</v>
      </c>
      <c r="K68" s="12">
        <f t="shared" si="8"/>
        <v>77</v>
      </c>
      <c r="L68" s="12">
        <f t="shared" si="9"/>
        <v>182</v>
      </c>
      <c r="M68" s="12">
        <f t="shared" si="10"/>
        <v>1582</v>
      </c>
      <c r="N68" s="12">
        <f t="shared" si="11"/>
        <v>1323</v>
      </c>
      <c r="O68" s="12">
        <v>122.28</v>
      </c>
      <c r="P68" s="12">
        <f t="shared" si="12"/>
        <v>199.28</v>
      </c>
      <c r="Q68" s="12">
        <f t="shared" si="13"/>
        <v>1200.72</v>
      </c>
    </row>
    <row r="69" spans="1:17" s="9" customFormat="1" ht="20.100000000000001" customHeight="1" x14ac:dyDescent="0.3">
      <c r="A69" s="9">
        <v>67</v>
      </c>
      <c r="B69" s="9" t="s">
        <v>164</v>
      </c>
      <c r="C69" s="9" t="s">
        <v>165</v>
      </c>
      <c r="D69" s="9" t="s">
        <v>166</v>
      </c>
      <c r="E69" s="15">
        <v>46113</v>
      </c>
      <c r="F69" s="15">
        <v>46295</v>
      </c>
      <c r="G69" s="11">
        <v>1400</v>
      </c>
      <c r="H69" s="12">
        <v>1400</v>
      </c>
      <c r="I69" s="13">
        <v>1</v>
      </c>
      <c r="J69" s="12">
        <f t="shared" si="7"/>
        <v>1400</v>
      </c>
      <c r="K69" s="12">
        <f t="shared" si="8"/>
        <v>77</v>
      </c>
      <c r="L69" s="12">
        <f t="shared" si="9"/>
        <v>182</v>
      </c>
      <c r="M69" s="12">
        <f t="shared" si="10"/>
        <v>1582</v>
      </c>
      <c r="N69" s="12">
        <f t="shared" si="11"/>
        <v>1323</v>
      </c>
      <c r="O69" s="12">
        <v>122.28</v>
      </c>
      <c r="P69" s="12">
        <f t="shared" si="12"/>
        <v>199.28</v>
      </c>
      <c r="Q69" s="12">
        <f t="shared" si="13"/>
        <v>1200.72</v>
      </c>
    </row>
    <row r="70" spans="1:17" s="9" customFormat="1" ht="20.100000000000001" customHeight="1" x14ac:dyDescent="0.3">
      <c r="A70" s="9">
        <v>68</v>
      </c>
      <c r="B70" s="9" t="s">
        <v>167</v>
      </c>
      <c r="C70" s="9" t="s">
        <v>168</v>
      </c>
      <c r="D70" s="9" t="s">
        <v>166</v>
      </c>
      <c r="E70" s="15">
        <v>46113</v>
      </c>
      <c r="F70" s="15">
        <v>46295</v>
      </c>
      <c r="G70" s="11">
        <v>1400</v>
      </c>
      <c r="H70" s="12">
        <v>1400</v>
      </c>
      <c r="I70" s="13">
        <v>1</v>
      </c>
      <c r="J70" s="12">
        <f t="shared" si="7"/>
        <v>1400</v>
      </c>
      <c r="K70" s="12">
        <f t="shared" si="8"/>
        <v>77</v>
      </c>
      <c r="L70" s="12">
        <f t="shared" si="9"/>
        <v>182</v>
      </c>
      <c r="M70" s="12">
        <f t="shared" si="10"/>
        <v>1582</v>
      </c>
      <c r="N70" s="12">
        <f t="shared" si="11"/>
        <v>1323</v>
      </c>
      <c r="O70" s="12">
        <v>122.28</v>
      </c>
      <c r="P70" s="12">
        <f t="shared" si="12"/>
        <v>199.28</v>
      </c>
      <c r="Q70" s="12">
        <f t="shared" si="13"/>
        <v>1200.72</v>
      </c>
    </row>
    <row r="71" spans="1:17" s="9" customFormat="1" ht="20.100000000000001" customHeight="1" x14ac:dyDescent="0.3">
      <c r="A71" s="9">
        <v>69</v>
      </c>
      <c r="B71" s="9" t="s">
        <v>169</v>
      </c>
      <c r="C71" s="9" t="s">
        <v>170</v>
      </c>
      <c r="D71" s="9" t="s">
        <v>166</v>
      </c>
      <c r="E71" s="15">
        <v>46113</v>
      </c>
      <c r="F71" s="15">
        <v>46295</v>
      </c>
      <c r="G71" s="11">
        <v>1400</v>
      </c>
      <c r="H71" s="12">
        <v>1400</v>
      </c>
      <c r="I71" s="13">
        <v>1</v>
      </c>
      <c r="J71" s="12">
        <f t="shared" si="7"/>
        <v>1400</v>
      </c>
      <c r="K71" s="12">
        <f t="shared" si="8"/>
        <v>77</v>
      </c>
      <c r="L71" s="12">
        <f t="shared" si="9"/>
        <v>182</v>
      </c>
      <c r="M71" s="12">
        <f t="shared" si="10"/>
        <v>1582</v>
      </c>
      <c r="N71" s="12">
        <f t="shared" si="11"/>
        <v>1323</v>
      </c>
      <c r="O71" s="12">
        <v>122.28</v>
      </c>
      <c r="P71" s="12">
        <f t="shared" si="12"/>
        <v>199.28</v>
      </c>
      <c r="Q71" s="12">
        <f t="shared" si="13"/>
        <v>1200.72</v>
      </c>
    </row>
    <row r="72" spans="1:17" s="9" customFormat="1" ht="20.100000000000001" customHeight="1" x14ac:dyDescent="0.3">
      <c r="A72" s="9">
        <v>70</v>
      </c>
      <c r="B72" s="9" t="s">
        <v>171</v>
      </c>
      <c r="C72" s="9" t="s">
        <v>172</v>
      </c>
      <c r="D72" s="9" t="s">
        <v>166</v>
      </c>
      <c r="E72" s="15">
        <v>46113</v>
      </c>
      <c r="F72" s="15">
        <v>46266</v>
      </c>
      <c r="G72" s="11">
        <v>1400</v>
      </c>
      <c r="H72" s="12">
        <v>1400</v>
      </c>
      <c r="I72" s="13">
        <v>1</v>
      </c>
      <c r="J72" s="12">
        <f t="shared" si="7"/>
        <v>1400</v>
      </c>
      <c r="K72" s="12">
        <f t="shared" si="8"/>
        <v>77</v>
      </c>
      <c r="L72" s="12">
        <f t="shared" si="9"/>
        <v>182</v>
      </c>
      <c r="M72" s="12">
        <f t="shared" si="10"/>
        <v>1582</v>
      </c>
      <c r="N72" s="12">
        <f t="shared" si="11"/>
        <v>1323</v>
      </c>
      <c r="O72" s="12">
        <v>122.28</v>
      </c>
      <c r="P72" s="12">
        <f t="shared" si="12"/>
        <v>199.28</v>
      </c>
      <c r="Q72" s="12">
        <f t="shared" si="13"/>
        <v>1200.72</v>
      </c>
    </row>
    <row r="73" spans="1:17" s="9" customFormat="1" ht="20.100000000000001" customHeight="1" x14ac:dyDescent="0.3">
      <c r="A73" s="9">
        <v>71</v>
      </c>
      <c r="B73" s="9" t="s">
        <v>173</v>
      </c>
      <c r="C73" s="9" t="s">
        <v>174</v>
      </c>
      <c r="D73" s="9" t="s">
        <v>166</v>
      </c>
      <c r="E73" s="15">
        <v>46113</v>
      </c>
      <c r="F73" s="15">
        <v>46295</v>
      </c>
      <c r="G73" s="11">
        <v>1400</v>
      </c>
      <c r="H73" s="12">
        <v>1400</v>
      </c>
      <c r="I73" s="13">
        <v>1</v>
      </c>
      <c r="J73" s="12">
        <f t="shared" si="7"/>
        <v>1400</v>
      </c>
      <c r="K73" s="12">
        <f t="shared" si="8"/>
        <v>77</v>
      </c>
      <c r="L73" s="12">
        <f t="shared" si="9"/>
        <v>182</v>
      </c>
      <c r="M73" s="12">
        <f t="shared" si="10"/>
        <v>1582</v>
      </c>
      <c r="N73" s="12">
        <f t="shared" si="11"/>
        <v>1323</v>
      </c>
      <c r="O73" s="12">
        <v>122.28</v>
      </c>
      <c r="P73" s="12">
        <f t="shared" si="12"/>
        <v>199.28</v>
      </c>
      <c r="Q73" s="12">
        <f t="shared" si="13"/>
        <v>1200.72</v>
      </c>
    </row>
    <row r="74" spans="1:17" s="9" customFormat="1" ht="20.100000000000001" customHeight="1" x14ac:dyDescent="0.3">
      <c r="A74" s="9">
        <v>72</v>
      </c>
      <c r="B74" s="9" t="s">
        <v>175</v>
      </c>
      <c r="C74" s="9" t="s">
        <v>176</v>
      </c>
      <c r="D74" s="9" t="s">
        <v>166</v>
      </c>
      <c r="E74" s="15">
        <v>46113</v>
      </c>
      <c r="F74" s="15">
        <v>46295</v>
      </c>
      <c r="G74" s="11">
        <v>1400</v>
      </c>
      <c r="H74" s="12">
        <v>1400</v>
      </c>
      <c r="I74" s="13">
        <v>1</v>
      </c>
      <c r="J74" s="12">
        <f t="shared" si="7"/>
        <v>1400</v>
      </c>
      <c r="K74" s="12">
        <f t="shared" si="8"/>
        <v>77</v>
      </c>
      <c r="L74" s="12">
        <f t="shared" si="9"/>
        <v>182</v>
      </c>
      <c r="M74" s="12">
        <f t="shared" si="10"/>
        <v>1582</v>
      </c>
      <c r="N74" s="12">
        <f t="shared" si="11"/>
        <v>1323</v>
      </c>
      <c r="O74" s="12">
        <v>122.28</v>
      </c>
      <c r="P74" s="12">
        <f t="shared" si="12"/>
        <v>199.28</v>
      </c>
      <c r="Q74" s="12">
        <f t="shared" si="13"/>
        <v>1200.72</v>
      </c>
    </row>
    <row r="75" spans="1:17" s="9" customFormat="1" ht="20.100000000000001" customHeight="1" x14ac:dyDescent="0.3">
      <c r="A75" s="9">
        <v>73</v>
      </c>
      <c r="B75" s="9" t="s">
        <v>177</v>
      </c>
      <c r="C75" s="9" t="s">
        <v>178</v>
      </c>
      <c r="D75" s="9" t="s">
        <v>166</v>
      </c>
      <c r="E75" s="15">
        <v>46113</v>
      </c>
      <c r="F75" s="15">
        <v>46295</v>
      </c>
      <c r="G75" s="11">
        <v>1400</v>
      </c>
      <c r="H75" s="12">
        <v>1400</v>
      </c>
      <c r="I75" s="13">
        <v>1</v>
      </c>
      <c r="J75" s="12">
        <f t="shared" si="7"/>
        <v>1400</v>
      </c>
      <c r="K75" s="12">
        <f t="shared" si="8"/>
        <v>77</v>
      </c>
      <c r="L75" s="12">
        <f t="shared" si="9"/>
        <v>182</v>
      </c>
      <c r="M75" s="12">
        <f t="shared" si="10"/>
        <v>1582</v>
      </c>
      <c r="N75" s="12">
        <f t="shared" si="11"/>
        <v>1323</v>
      </c>
      <c r="O75" s="12">
        <v>122.28</v>
      </c>
      <c r="P75" s="12">
        <f t="shared" si="12"/>
        <v>199.28</v>
      </c>
      <c r="Q75" s="12">
        <f t="shared" si="13"/>
        <v>1200.72</v>
      </c>
    </row>
    <row r="76" spans="1:17" s="9" customFormat="1" ht="20.100000000000001" customHeight="1" x14ac:dyDescent="0.3">
      <c r="A76" s="9">
        <v>74</v>
      </c>
      <c r="B76" s="9" t="s">
        <v>179</v>
      </c>
      <c r="C76" s="9" t="s">
        <v>180</v>
      </c>
      <c r="D76" s="9" t="s">
        <v>181</v>
      </c>
      <c r="E76" s="15">
        <v>46113</v>
      </c>
      <c r="F76" s="15">
        <v>46295</v>
      </c>
      <c r="G76" s="11">
        <v>1400</v>
      </c>
      <c r="H76" s="12">
        <v>1400</v>
      </c>
      <c r="I76" s="13">
        <v>1</v>
      </c>
      <c r="J76" s="12">
        <f t="shared" si="7"/>
        <v>1400</v>
      </c>
      <c r="K76" s="12">
        <f t="shared" si="8"/>
        <v>77</v>
      </c>
      <c r="L76" s="12">
        <f t="shared" si="9"/>
        <v>182</v>
      </c>
      <c r="M76" s="12">
        <f t="shared" si="10"/>
        <v>1582</v>
      </c>
      <c r="N76" s="12">
        <f t="shared" si="11"/>
        <v>1323</v>
      </c>
      <c r="O76" s="12">
        <v>122.28</v>
      </c>
      <c r="P76" s="12">
        <f t="shared" si="12"/>
        <v>199.28</v>
      </c>
      <c r="Q76" s="12">
        <f t="shared" si="13"/>
        <v>1200.72</v>
      </c>
    </row>
    <row r="77" spans="1:17" s="9" customFormat="1" ht="20.100000000000001" customHeight="1" x14ac:dyDescent="0.3">
      <c r="A77" s="9">
        <v>75</v>
      </c>
      <c r="B77" s="9" t="s">
        <v>182</v>
      </c>
      <c r="C77" s="9" t="s">
        <v>183</v>
      </c>
      <c r="D77" s="9" t="s">
        <v>181</v>
      </c>
      <c r="E77" s="10">
        <v>46113</v>
      </c>
      <c r="F77" s="10">
        <v>46295</v>
      </c>
      <c r="G77" s="11">
        <v>1400</v>
      </c>
      <c r="H77" s="12">
        <v>1400</v>
      </c>
      <c r="I77" s="13">
        <v>1</v>
      </c>
      <c r="J77" s="12">
        <f t="shared" si="7"/>
        <v>1400</v>
      </c>
      <c r="K77" s="12">
        <f t="shared" si="8"/>
        <v>77</v>
      </c>
      <c r="L77" s="12">
        <f t="shared" si="9"/>
        <v>182</v>
      </c>
      <c r="M77" s="12">
        <f t="shared" si="10"/>
        <v>1582</v>
      </c>
      <c r="N77" s="12">
        <f t="shared" si="11"/>
        <v>1323</v>
      </c>
      <c r="O77" s="12">
        <v>122.28</v>
      </c>
      <c r="P77" s="12">
        <f t="shared" si="12"/>
        <v>199.28</v>
      </c>
      <c r="Q77" s="12">
        <f t="shared" si="13"/>
        <v>1200.72</v>
      </c>
    </row>
    <row r="78" spans="1:17" s="9" customFormat="1" ht="20.100000000000001" customHeight="1" x14ac:dyDescent="0.3">
      <c r="A78" s="9">
        <v>76</v>
      </c>
      <c r="B78" s="9" t="s">
        <v>184</v>
      </c>
      <c r="C78" s="9" t="s">
        <v>185</v>
      </c>
      <c r="D78" s="9" t="s">
        <v>181</v>
      </c>
      <c r="E78" s="15">
        <v>46113</v>
      </c>
      <c r="F78" s="15">
        <v>46295</v>
      </c>
      <c r="G78" s="11">
        <v>1400</v>
      </c>
      <c r="H78" s="12">
        <v>1400</v>
      </c>
      <c r="I78" s="13">
        <v>1</v>
      </c>
      <c r="J78" s="12">
        <f t="shared" si="7"/>
        <v>1400</v>
      </c>
      <c r="K78" s="12">
        <f t="shared" si="8"/>
        <v>77</v>
      </c>
      <c r="L78" s="12">
        <f t="shared" si="9"/>
        <v>182</v>
      </c>
      <c r="M78" s="12">
        <f t="shared" si="10"/>
        <v>1582</v>
      </c>
      <c r="N78" s="12">
        <f t="shared" si="11"/>
        <v>1323</v>
      </c>
      <c r="O78" s="12">
        <v>122.28</v>
      </c>
      <c r="P78" s="12">
        <f t="shared" si="12"/>
        <v>199.28</v>
      </c>
      <c r="Q78" s="12">
        <f t="shared" si="13"/>
        <v>1200.72</v>
      </c>
    </row>
    <row r="79" spans="1:17" s="9" customFormat="1" ht="20.100000000000001" customHeight="1" x14ac:dyDescent="0.3">
      <c r="A79" s="9">
        <v>77</v>
      </c>
      <c r="B79" s="9" t="s">
        <v>186</v>
      </c>
      <c r="C79" s="9" t="s">
        <v>187</v>
      </c>
      <c r="D79" s="9" t="s">
        <v>181</v>
      </c>
      <c r="E79" s="10">
        <v>46113</v>
      </c>
      <c r="F79" s="10">
        <v>46295</v>
      </c>
      <c r="G79" s="11">
        <v>1400</v>
      </c>
      <c r="H79" s="12">
        <v>1400</v>
      </c>
      <c r="I79" s="13">
        <v>1</v>
      </c>
      <c r="J79" s="12">
        <f t="shared" si="7"/>
        <v>1400</v>
      </c>
      <c r="K79" s="12">
        <f t="shared" si="8"/>
        <v>77</v>
      </c>
      <c r="L79" s="12">
        <f t="shared" si="9"/>
        <v>182</v>
      </c>
      <c r="M79" s="12">
        <f t="shared" si="10"/>
        <v>1582</v>
      </c>
      <c r="N79" s="12">
        <f t="shared" si="11"/>
        <v>1323</v>
      </c>
      <c r="O79" s="12">
        <v>122.28</v>
      </c>
      <c r="P79" s="12">
        <f t="shared" si="12"/>
        <v>199.28</v>
      </c>
      <c r="Q79" s="12">
        <f t="shared" si="13"/>
        <v>1200.72</v>
      </c>
    </row>
    <row r="80" spans="1:17" s="9" customFormat="1" ht="20.100000000000001" customHeight="1" x14ac:dyDescent="0.3">
      <c r="A80" s="9">
        <v>78</v>
      </c>
      <c r="B80" s="9" t="s">
        <v>188</v>
      </c>
      <c r="C80" s="9" t="s">
        <v>189</v>
      </c>
      <c r="D80" s="9" t="s">
        <v>181</v>
      </c>
      <c r="E80" s="15">
        <v>46113</v>
      </c>
      <c r="F80" s="15">
        <v>46295</v>
      </c>
      <c r="G80" s="11">
        <v>1400</v>
      </c>
      <c r="H80" s="12">
        <v>1400</v>
      </c>
      <c r="I80" s="13">
        <v>1</v>
      </c>
      <c r="J80" s="12">
        <f t="shared" si="7"/>
        <v>1400</v>
      </c>
      <c r="K80" s="12">
        <f t="shared" si="8"/>
        <v>77</v>
      </c>
      <c r="L80" s="12">
        <f t="shared" si="9"/>
        <v>182</v>
      </c>
      <c r="M80" s="12">
        <f t="shared" si="10"/>
        <v>1582</v>
      </c>
      <c r="N80" s="12">
        <f t="shared" si="11"/>
        <v>1323</v>
      </c>
      <c r="O80" s="12">
        <v>122.28</v>
      </c>
      <c r="P80" s="12">
        <f t="shared" si="12"/>
        <v>199.28</v>
      </c>
      <c r="Q80" s="12">
        <f t="shared" si="13"/>
        <v>1200.72</v>
      </c>
    </row>
    <row r="81" spans="1:17" s="9" customFormat="1" ht="20.100000000000001" customHeight="1" x14ac:dyDescent="0.3">
      <c r="A81" s="9">
        <v>79</v>
      </c>
      <c r="B81" s="9" t="s">
        <v>190</v>
      </c>
      <c r="C81" s="9" t="s">
        <v>191</v>
      </c>
      <c r="D81" s="9" t="s">
        <v>192</v>
      </c>
      <c r="E81" s="15">
        <v>46113</v>
      </c>
      <c r="F81" s="15">
        <v>46295</v>
      </c>
      <c r="G81" s="11">
        <v>1400</v>
      </c>
      <c r="H81" s="12">
        <v>1400</v>
      </c>
      <c r="I81" s="13">
        <v>1</v>
      </c>
      <c r="J81" s="12">
        <f t="shared" si="7"/>
        <v>1400</v>
      </c>
      <c r="K81" s="12">
        <f t="shared" si="8"/>
        <v>77</v>
      </c>
      <c r="L81" s="12">
        <f t="shared" si="9"/>
        <v>182</v>
      </c>
      <c r="M81" s="12">
        <f t="shared" si="10"/>
        <v>1582</v>
      </c>
      <c r="N81" s="12">
        <f t="shared" si="11"/>
        <v>1323</v>
      </c>
      <c r="O81" s="12">
        <v>122.28</v>
      </c>
      <c r="P81" s="12">
        <f t="shared" si="12"/>
        <v>199.28</v>
      </c>
      <c r="Q81" s="12">
        <f t="shared" si="13"/>
        <v>1200.72</v>
      </c>
    </row>
    <row r="82" spans="1:17" s="9" customFormat="1" ht="20.100000000000001" customHeight="1" x14ac:dyDescent="0.3">
      <c r="A82" s="9">
        <v>80</v>
      </c>
      <c r="B82" s="9" t="s">
        <v>193</v>
      </c>
      <c r="C82" s="9" t="s">
        <v>194</v>
      </c>
      <c r="D82" s="9" t="s">
        <v>192</v>
      </c>
      <c r="E82" s="15">
        <v>46113</v>
      </c>
      <c r="F82" s="15">
        <v>46295</v>
      </c>
      <c r="G82" s="11">
        <v>1400</v>
      </c>
      <c r="H82" s="12">
        <v>1400</v>
      </c>
      <c r="I82" s="13">
        <v>1</v>
      </c>
      <c r="J82" s="12">
        <f t="shared" si="7"/>
        <v>1400</v>
      </c>
      <c r="K82" s="12">
        <f t="shared" si="8"/>
        <v>77</v>
      </c>
      <c r="L82" s="12">
        <f t="shared" si="9"/>
        <v>182</v>
      </c>
      <c r="M82" s="12">
        <f t="shared" si="10"/>
        <v>1582</v>
      </c>
      <c r="N82" s="12">
        <f t="shared" si="11"/>
        <v>1323</v>
      </c>
      <c r="O82" s="12">
        <v>122.28</v>
      </c>
      <c r="P82" s="12">
        <f t="shared" si="12"/>
        <v>199.28</v>
      </c>
      <c r="Q82" s="12">
        <f t="shared" si="13"/>
        <v>1200.72</v>
      </c>
    </row>
    <row r="83" spans="1:17" s="9" customFormat="1" ht="20.100000000000001" customHeight="1" x14ac:dyDescent="0.3">
      <c r="A83" s="9">
        <v>81</v>
      </c>
      <c r="B83" s="9" t="s">
        <v>195</v>
      </c>
      <c r="C83" s="9" t="s">
        <v>196</v>
      </c>
      <c r="D83" s="9" t="s">
        <v>197</v>
      </c>
      <c r="E83" s="15">
        <v>46113</v>
      </c>
      <c r="F83" s="15">
        <v>46295</v>
      </c>
      <c r="G83" s="11">
        <v>1400</v>
      </c>
      <c r="H83" s="12">
        <v>1400</v>
      </c>
      <c r="I83" s="13">
        <v>1</v>
      </c>
      <c r="J83" s="12">
        <f t="shared" si="7"/>
        <v>1400</v>
      </c>
      <c r="K83" s="12">
        <f t="shared" si="8"/>
        <v>77</v>
      </c>
      <c r="L83" s="12">
        <f t="shared" si="9"/>
        <v>182</v>
      </c>
      <c r="M83" s="12">
        <f t="shared" si="10"/>
        <v>1582</v>
      </c>
      <c r="N83" s="12">
        <f t="shared" si="11"/>
        <v>1323</v>
      </c>
      <c r="O83" s="12">
        <v>122.28</v>
      </c>
      <c r="P83" s="12">
        <f t="shared" si="12"/>
        <v>199.28</v>
      </c>
      <c r="Q83" s="12">
        <f t="shared" si="13"/>
        <v>1200.72</v>
      </c>
    </row>
    <row r="84" spans="1:17" s="9" customFormat="1" ht="20.100000000000001" customHeight="1" x14ac:dyDescent="0.3">
      <c r="A84" s="9">
        <v>82</v>
      </c>
      <c r="B84" s="9" t="s">
        <v>198</v>
      </c>
      <c r="C84" s="9" t="s">
        <v>199</v>
      </c>
      <c r="D84" s="9" t="s">
        <v>197</v>
      </c>
      <c r="E84" s="15">
        <v>46113</v>
      </c>
      <c r="F84" s="15">
        <v>46295</v>
      </c>
      <c r="G84" s="11">
        <v>1400</v>
      </c>
      <c r="H84" s="12">
        <v>1400</v>
      </c>
      <c r="I84" s="13">
        <v>1</v>
      </c>
      <c r="J84" s="12">
        <f t="shared" si="7"/>
        <v>1400</v>
      </c>
      <c r="K84" s="12">
        <f t="shared" si="8"/>
        <v>77</v>
      </c>
      <c r="L84" s="12">
        <f t="shared" si="9"/>
        <v>182</v>
      </c>
      <c r="M84" s="12">
        <f t="shared" si="10"/>
        <v>1582</v>
      </c>
      <c r="N84" s="12">
        <f t="shared" si="11"/>
        <v>1323</v>
      </c>
      <c r="O84" s="12">
        <v>122.28</v>
      </c>
      <c r="P84" s="12">
        <f t="shared" si="12"/>
        <v>199.28</v>
      </c>
      <c r="Q84" s="12">
        <f t="shared" si="13"/>
        <v>1200.72</v>
      </c>
    </row>
    <row r="85" spans="1:17" s="9" customFormat="1" ht="20.100000000000001" customHeight="1" x14ac:dyDescent="0.3">
      <c r="A85" s="9">
        <v>83</v>
      </c>
      <c r="B85" s="9" t="s">
        <v>200</v>
      </c>
      <c r="C85" s="9" t="s">
        <v>201</v>
      </c>
      <c r="D85" s="9" t="s">
        <v>87</v>
      </c>
      <c r="E85" s="15">
        <v>46113</v>
      </c>
      <c r="F85" s="15">
        <v>46266</v>
      </c>
      <c r="G85" s="11">
        <v>1400</v>
      </c>
      <c r="H85" s="12">
        <v>1400</v>
      </c>
      <c r="I85" s="13">
        <v>1</v>
      </c>
      <c r="J85" s="12">
        <f t="shared" si="7"/>
        <v>1400</v>
      </c>
      <c r="K85" s="12">
        <f t="shared" si="8"/>
        <v>77</v>
      </c>
      <c r="L85" s="12">
        <f t="shared" si="9"/>
        <v>182</v>
      </c>
      <c r="M85" s="12">
        <f t="shared" si="10"/>
        <v>1582</v>
      </c>
      <c r="N85" s="12">
        <f t="shared" si="11"/>
        <v>1323</v>
      </c>
      <c r="O85" s="12">
        <v>122.28</v>
      </c>
      <c r="P85" s="12">
        <f t="shared" si="12"/>
        <v>199.28</v>
      </c>
      <c r="Q85" s="12">
        <f t="shared" si="13"/>
        <v>1200.72</v>
      </c>
    </row>
    <row r="86" spans="1:17" s="9" customFormat="1" ht="20.100000000000001" customHeight="1" x14ac:dyDescent="0.3">
      <c r="A86" s="9">
        <v>84</v>
      </c>
      <c r="B86" s="9" t="s">
        <v>202</v>
      </c>
      <c r="C86" s="9" t="s">
        <v>203</v>
      </c>
      <c r="D86" s="9" t="s">
        <v>87</v>
      </c>
      <c r="E86" s="15">
        <v>46113</v>
      </c>
      <c r="F86" s="15">
        <v>46266</v>
      </c>
      <c r="G86" s="11">
        <v>1400</v>
      </c>
      <c r="H86" s="12">
        <v>1400</v>
      </c>
      <c r="I86" s="13">
        <v>1</v>
      </c>
      <c r="J86" s="12">
        <f t="shared" si="7"/>
        <v>1400</v>
      </c>
      <c r="K86" s="12">
        <f t="shared" si="8"/>
        <v>77</v>
      </c>
      <c r="L86" s="12">
        <f t="shared" si="9"/>
        <v>182</v>
      </c>
      <c r="M86" s="12">
        <f t="shared" si="10"/>
        <v>1582</v>
      </c>
      <c r="N86" s="12">
        <f t="shared" si="11"/>
        <v>1323</v>
      </c>
      <c r="O86" s="12">
        <v>122.28</v>
      </c>
      <c r="P86" s="12">
        <f t="shared" si="12"/>
        <v>199.28</v>
      </c>
      <c r="Q86" s="12">
        <f t="shared" si="13"/>
        <v>1200.72</v>
      </c>
    </row>
    <row r="87" spans="1:17" s="9" customFormat="1" ht="20.100000000000001" customHeight="1" x14ac:dyDescent="0.3">
      <c r="A87" s="9">
        <v>85</v>
      </c>
      <c r="B87" s="9" t="s">
        <v>204</v>
      </c>
      <c r="C87" s="9" t="s">
        <v>205</v>
      </c>
      <c r="D87" s="9" t="s">
        <v>87</v>
      </c>
      <c r="E87" s="15">
        <v>46113</v>
      </c>
      <c r="F87" s="15">
        <v>46295</v>
      </c>
      <c r="G87" s="11">
        <v>2500</v>
      </c>
      <c r="H87" s="12">
        <v>2500</v>
      </c>
      <c r="I87" s="13">
        <v>1</v>
      </c>
      <c r="J87" s="12">
        <f t="shared" si="7"/>
        <v>2500</v>
      </c>
      <c r="K87" s="12">
        <f t="shared" si="8"/>
        <v>137.5</v>
      </c>
      <c r="L87" s="12">
        <f t="shared" si="9"/>
        <v>325</v>
      </c>
      <c r="M87" s="12">
        <f t="shared" si="10"/>
        <v>2825</v>
      </c>
      <c r="N87" s="12">
        <f t="shared" si="11"/>
        <v>2362.5</v>
      </c>
      <c r="O87" s="12">
        <v>304.19</v>
      </c>
      <c r="P87" s="12">
        <v>441.69</v>
      </c>
      <c r="Q87" s="12">
        <f t="shared" si="13"/>
        <v>2058.31</v>
      </c>
    </row>
    <row r="88" spans="1:17" s="9" customFormat="1" ht="20.100000000000001" customHeight="1" x14ac:dyDescent="0.3">
      <c r="A88" s="9">
        <v>86</v>
      </c>
      <c r="B88" s="9" t="s">
        <v>206</v>
      </c>
      <c r="C88" s="9" t="s">
        <v>207</v>
      </c>
      <c r="D88" s="9" t="s">
        <v>42</v>
      </c>
      <c r="E88" s="15">
        <v>46113</v>
      </c>
      <c r="F88" s="15">
        <v>46266</v>
      </c>
      <c r="G88" s="11">
        <v>1400</v>
      </c>
      <c r="H88" s="12">
        <v>1400</v>
      </c>
      <c r="I88" s="13">
        <v>1</v>
      </c>
      <c r="J88" s="12">
        <f t="shared" si="7"/>
        <v>1400</v>
      </c>
      <c r="K88" s="12">
        <f t="shared" si="8"/>
        <v>77</v>
      </c>
      <c r="L88" s="12">
        <f t="shared" si="9"/>
        <v>182</v>
      </c>
      <c r="M88" s="12">
        <f t="shared" si="10"/>
        <v>1582</v>
      </c>
      <c r="N88" s="12">
        <f t="shared" si="11"/>
        <v>1323</v>
      </c>
      <c r="O88" s="12">
        <v>122.28</v>
      </c>
      <c r="P88" s="12">
        <f t="shared" ref="P88:P151" si="14">K88+O88</f>
        <v>199.28</v>
      </c>
      <c r="Q88" s="12">
        <f t="shared" si="13"/>
        <v>1200.72</v>
      </c>
    </row>
    <row r="89" spans="1:17" s="9" customFormat="1" ht="20.100000000000001" customHeight="1" x14ac:dyDescent="0.3">
      <c r="A89" s="9">
        <v>87</v>
      </c>
      <c r="B89" s="9" t="s">
        <v>208</v>
      </c>
      <c r="C89" s="9" t="s">
        <v>209</v>
      </c>
      <c r="D89" s="9" t="s">
        <v>42</v>
      </c>
      <c r="E89" s="15">
        <v>46113</v>
      </c>
      <c r="F89" s="15">
        <v>46266</v>
      </c>
      <c r="G89" s="11">
        <v>1400</v>
      </c>
      <c r="H89" s="12">
        <v>1400</v>
      </c>
      <c r="I89" s="13">
        <v>1</v>
      </c>
      <c r="J89" s="12">
        <f t="shared" si="7"/>
        <v>1400</v>
      </c>
      <c r="K89" s="12">
        <f t="shared" si="8"/>
        <v>77</v>
      </c>
      <c r="L89" s="12">
        <f t="shared" si="9"/>
        <v>182</v>
      </c>
      <c r="M89" s="12">
        <f t="shared" si="10"/>
        <v>1582</v>
      </c>
      <c r="N89" s="12">
        <f t="shared" si="11"/>
        <v>1323</v>
      </c>
      <c r="O89" s="12">
        <v>122.28</v>
      </c>
      <c r="P89" s="12">
        <f t="shared" si="14"/>
        <v>199.28</v>
      </c>
      <c r="Q89" s="12">
        <f t="shared" si="13"/>
        <v>1200.72</v>
      </c>
    </row>
    <row r="90" spans="1:17" s="9" customFormat="1" ht="20.100000000000001" customHeight="1" x14ac:dyDescent="0.3">
      <c r="A90" s="9">
        <v>88</v>
      </c>
      <c r="B90" s="9" t="s">
        <v>210</v>
      </c>
      <c r="C90" s="9" t="s">
        <v>211</v>
      </c>
      <c r="D90" s="9" t="s">
        <v>42</v>
      </c>
      <c r="E90" s="15">
        <v>46113</v>
      </c>
      <c r="F90" s="15">
        <v>46295</v>
      </c>
      <c r="G90" s="11">
        <v>1400</v>
      </c>
      <c r="H90" s="12">
        <v>1400</v>
      </c>
      <c r="I90" s="13">
        <v>1</v>
      </c>
      <c r="J90" s="12">
        <f t="shared" si="7"/>
        <v>1400</v>
      </c>
      <c r="K90" s="12">
        <f t="shared" si="8"/>
        <v>77</v>
      </c>
      <c r="L90" s="12">
        <f t="shared" si="9"/>
        <v>182</v>
      </c>
      <c r="M90" s="12">
        <f t="shared" si="10"/>
        <v>1582</v>
      </c>
      <c r="N90" s="12">
        <f t="shared" si="11"/>
        <v>1323</v>
      </c>
      <c r="O90" s="12">
        <v>122.28</v>
      </c>
      <c r="P90" s="12">
        <f t="shared" si="14"/>
        <v>199.28</v>
      </c>
      <c r="Q90" s="12">
        <f t="shared" si="13"/>
        <v>1200.72</v>
      </c>
    </row>
    <row r="91" spans="1:17" s="9" customFormat="1" ht="20.100000000000001" customHeight="1" x14ac:dyDescent="0.3">
      <c r="A91" s="9">
        <v>89</v>
      </c>
      <c r="B91" s="9" t="s">
        <v>212</v>
      </c>
      <c r="C91" s="9" t="s">
        <v>213</v>
      </c>
      <c r="D91" s="9" t="s">
        <v>214</v>
      </c>
      <c r="E91" s="10">
        <v>46143</v>
      </c>
      <c r="F91" s="10">
        <v>46325</v>
      </c>
      <c r="G91" s="11">
        <v>1400</v>
      </c>
      <c r="H91" s="12">
        <v>1400</v>
      </c>
      <c r="I91" s="13">
        <v>1</v>
      </c>
      <c r="J91" s="12">
        <f t="shared" si="7"/>
        <v>1400</v>
      </c>
      <c r="K91" s="12">
        <f t="shared" si="8"/>
        <v>77</v>
      </c>
      <c r="L91" s="12">
        <f t="shared" si="9"/>
        <v>182</v>
      </c>
      <c r="M91" s="12">
        <f t="shared" si="10"/>
        <v>1582</v>
      </c>
      <c r="N91" s="12">
        <f t="shared" si="11"/>
        <v>1323</v>
      </c>
      <c r="O91" s="12">
        <v>122.28</v>
      </c>
      <c r="P91" s="12">
        <f t="shared" si="14"/>
        <v>199.28</v>
      </c>
      <c r="Q91" s="12">
        <f t="shared" si="13"/>
        <v>1200.72</v>
      </c>
    </row>
    <row r="92" spans="1:17" s="9" customFormat="1" ht="20.100000000000001" customHeight="1" x14ac:dyDescent="0.3">
      <c r="A92" s="9">
        <v>90</v>
      </c>
      <c r="B92" s="9" t="s">
        <v>215</v>
      </c>
      <c r="C92" s="9" t="s">
        <v>216</v>
      </c>
      <c r="D92" s="9" t="s">
        <v>214</v>
      </c>
      <c r="E92" s="10">
        <v>46143</v>
      </c>
      <c r="F92" s="10">
        <v>46325</v>
      </c>
      <c r="G92" s="11">
        <v>1400</v>
      </c>
      <c r="H92" s="12">
        <v>1400</v>
      </c>
      <c r="I92" s="13">
        <v>1</v>
      </c>
      <c r="J92" s="12">
        <f t="shared" si="7"/>
        <v>1400</v>
      </c>
      <c r="K92" s="12">
        <f t="shared" si="8"/>
        <v>77</v>
      </c>
      <c r="L92" s="12">
        <f t="shared" si="9"/>
        <v>182</v>
      </c>
      <c r="M92" s="12">
        <f t="shared" si="10"/>
        <v>1582</v>
      </c>
      <c r="N92" s="12">
        <f t="shared" si="11"/>
        <v>1323</v>
      </c>
      <c r="O92" s="12">
        <v>122.28</v>
      </c>
      <c r="P92" s="12">
        <f t="shared" si="14"/>
        <v>199.28</v>
      </c>
      <c r="Q92" s="12">
        <f t="shared" si="13"/>
        <v>1200.72</v>
      </c>
    </row>
    <row r="93" spans="1:17" s="9" customFormat="1" ht="20.100000000000001" customHeight="1" x14ac:dyDescent="0.3">
      <c r="A93" s="9">
        <v>91</v>
      </c>
      <c r="B93" s="9" t="s">
        <v>217</v>
      </c>
      <c r="C93" s="9" t="s">
        <v>218</v>
      </c>
      <c r="D93" s="9" t="s">
        <v>214</v>
      </c>
      <c r="E93" s="10">
        <v>46143</v>
      </c>
      <c r="F93" s="10">
        <v>46325</v>
      </c>
      <c r="G93" s="11">
        <v>1400</v>
      </c>
      <c r="H93" s="12">
        <v>1400</v>
      </c>
      <c r="I93" s="13">
        <v>1</v>
      </c>
      <c r="J93" s="12">
        <f t="shared" si="7"/>
        <v>1400</v>
      </c>
      <c r="K93" s="12">
        <f t="shared" si="8"/>
        <v>77</v>
      </c>
      <c r="L93" s="12">
        <f t="shared" si="9"/>
        <v>182</v>
      </c>
      <c r="M93" s="12">
        <f t="shared" si="10"/>
        <v>1582</v>
      </c>
      <c r="N93" s="12">
        <f t="shared" si="11"/>
        <v>1323</v>
      </c>
      <c r="O93" s="12">
        <v>122.28</v>
      </c>
      <c r="P93" s="12">
        <f t="shared" si="14"/>
        <v>199.28</v>
      </c>
      <c r="Q93" s="12">
        <f t="shared" si="13"/>
        <v>1200.72</v>
      </c>
    </row>
    <row r="94" spans="1:17" s="9" customFormat="1" ht="20.100000000000001" customHeight="1" x14ac:dyDescent="0.3">
      <c r="A94" s="9">
        <v>92</v>
      </c>
      <c r="B94" s="9" t="s">
        <v>219</v>
      </c>
      <c r="C94" s="9" t="s">
        <v>220</v>
      </c>
      <c r="D94" s="9" t="s">
        <v>42</v>
      </c>
      <c r="E94" s="10">
        <v>46143</v>
      </c>
      <c r="F94" s="10">
        <v>46325</v>
      </c>
      <c r="G94" s="11">
        <v>1400</v>
      </c>
      <c r="H94" s="12">
        <v>1400</v>
      </c>
      <c r="I94" s="13">
        <v>1</v>
      </c>
      <c r="J94" s="12">
        <f t="shared" si="7"/>
        <v>1400</v>
      </c>
      <c r="K94" s="12">
        <f t="shared" si="8"/>
        <v>77</v>
      </c>
      <c r="L94" s="12">
        <f t="shared" si="9"/>
        <v>182</v>
      </c>
      <c r="M94" s="12">
        <f t="shared" si="10"/>
        <v>1582</v>
      </c>
      <c r="N94" s="12">
        <f t="shared" si="11"/>
        <v>1323</v>
      </c>
      <c r="O94" s="12">
        <v>122.28</v>
      </c>
      <c r="P94" s="12">
        <f t="shared" si="14"/>
        <v>199.28</v>
      </c>
      <c r="Q94" s="12">
        <f t="shared" si="13"/>
        <v>1200.72</v>
      </c>
    </row>
    <row r="95" spans="1:17" s="9" customFormat="1" ht="20.100000000000001" customHeight="1" x14ac:dyDescent="0.3">
      <c r="A95" s="9">
        <v>93</v>
      </c>
      <c r="B95" s="9" t="s">
        <v>221</v>
      </c>
      <c r="C95" s="9" t="s">
        <v>222</v>
      </c>
      <c r="D95" s="9" t="s">
        <v>23</v>
      </c>
      <c r="E95" s="10">
        <v>46143</v>
      </c>
      <c r="F95" s="10">
        <v>46325</v>
      </c>
      <c r="G95" s="11">
        <v>1400</v>
      </c>
      <c r="H95" s="12">
        <v>1400</v>
      </c>
      <c r="I95" s="13">
        <v>1</v>
      </c>
      <c r="J95" s="12">
        <f t="shared" si="7"/>
        <v>1400</v>
      </c>
      <c r="K95" s="12">
        <f t="shared" si="8"/>
        <v>77</v>
      </c>
      <c r="L95" s="12">
        <f t="shared" si="9"/>
        <v>182</v>
      </c>
      <c r="M95" s="12">
        <f t="shared" si="10"/>
        <v>1582</v>
      </c>
      <c r="N95" s="12">
        <f t="shared" si="11"/>
        <v>1323</v>
      </c>
      <c r="O95" s="12">
        <v>122.28</v>
      </c>
      <c r="P95" s="12">
        <f t="shared" si="14"/>
        <v>199.28</v>
      </c>
      <c r="Q95" s="12">
        <f t="shared" si="13"/>
        <v>1200.72</v>
      </c>
    </row>
    <row r="96" spans="1:17" s="9" customFormat="1" ht="20.100000000000001" customHeight="1" x14ac:dyDescent="0.3">
      <c r="A96" s="9">
        <v>94</v>
      </c>
      <c r="B96" s="9" t="s">
        <v>223</v>
      </c>
      <c r="C96" s="9" t="s">
        <v>224</v>
      </c>
      <c r="D96" s="9" t="s">
        <v>225</v>
      </c>
      <c r="E96" s="10">
        <v>46143</v>
      </c>
      <c r="F96" s="10">
        <v>46325</v>
      </c>
      <c r="G96" s="11">
        <v>1400</v>
      </c>
      <c r="H96" s="12">
        <v>1400</v>
      </c>
      <c r="I96" s="13">
        <v>1</v>
      </c>
      <c r="J96" s="12">
        <f t="shared" si="7"/>
        <v>1400</v>
      </c>
      <c r="K96" s="12">
        <f t="shared" si="8"/>
        <v>77</v>
      </c>
      <c r="L96" s="12">
        <f t="shared" si="9"/>
        <v>182</v>
      </c>
      <c r="M96" s="12">
        <f t="shared" si="10"/>
        <v>1582</v>
      </c>
      <c r="N96" s="12">
        <f t="shared" si="11"/>
        <v>1323</v>
      </c>
      <c r="O96" s="12">
        <v>122.28</v>
      </c>
      <c r="P96" s="12">
        <f t="shared" si="14"/>
        <v>199.28</v>
      </c>
      <c r="Q96" s="12">
        <f t="shared" si="13"/>
        <v>1200.72</v>
      </c>
    </row>
    <row r="97" spans="1:83" s="9" customFormat="1" ht="20.100000000000001" customHeight="1" x14ac:dyDescent="0.3">
      <c r="A97" s="9">
        <v>95</v>
      </c>
      <c r="B97" s="9" t="s">
        <v>226</v>
      </c>
      <c r="C97" s="9" t="s">
        <v>227</v>
      </c>
      <c r="D97" s="9" t="s">
        <v>228</v>
      </c>
      <c r="E97" s="15">
        <v>46113</v>
      </c>
      <c r="F97" s="15">
        <v>46295</v>
      </c>
      <c r="G97" s="11">
        <v>1400</v>
      </c>
      <c r="H97" s="12">
        <v>1400</v>
      </c>
      <c r="I97" s="13">
        <v>1</v>
      </c>
      <c r="J97" s="12">
        <f t="shared" si="7"/>
        <v>1400</v>
      </c>
      <c r="K97" s="12">
        <f t="shared" si="8"/>
        <v>77</v>
      </c>
      <c r="L97" s="12">
        <f t="shared" si="9"/>
        <v>182</v>
      </c>
      <c r="M97" s="12">
        <f t="shared" si="10"/>
        <v>1582</v>
      </c>
      <c r="N97" s="12">
        <f t="shared" si="11"/>
        <v>1323</v>
      </c>
      <c r="O97" s="12">
        <v>122.28</v>
      </c>
      <c r="P97" s="12">
        <f t="shared" si="14"/>
        <v>199.28</v>
      </c>
      <c r="Q97" s="12">
        <f t="shared" si="13"/>
        <v>1200.72</v>
      </c>
    </row>
    <row r="98" spans="1:83" s="9" customFormat="1" ht="20.100000000000001" customHeight="1" x14ac:dyDescent="0.3">
      <c r="A98" s="9">
        <v>96</v>
      </c>
      <c r="B98" s="9" t="s">
        <v>229</v>
      </c>
      <c r="C98" s="9" t="s">
        <v>230</v>
      </c>
      <c r="D98" s="9" t="s">
        <v>228</v>
      </c>
      <c r="E98" s="10">
        <v>46143</v>
      </c>
      <c r="F98" s="10">
        <v>46325</v>
      </c>
      <c r="G98" s="11">
        <v>1400</v>
      </c>
      <c r="H98" s="12">
        <v>1400</v>
      </c>
      <c r="I98" s="13">
        <v>1</v>
      </c>
      <c r="J98" s="12">
        <f t="shared" si="7"/>
        <v>1400</v>
      </c>
      <c r="K98" s="12">
        <f t="shared" si="8"/>
        <v>77</v>
      </c>
      <c r="L98" s="12">
        <f t="shared" si="9"/>
        <v>182</v>
      </c>
      <c r="M98" s="12">
        <f t="shared" si="10"/>
        <v>1582</v>
      </c>
      <c r="N98" s="12">
        <f t="shared" si="11"/>
        <v>1323</v>
      </c>
      <c r="O98" s="12">
        <v>122.28</v>
      </c>
      <c r="P98" s="12">
        <f t="shared" si="14"/>
        <v>199.28</v>
      </c>
      <c r="Q98" s="12">
        <f t="shared" si="13"/>
        <v>1200.72</v>
      </c>
    </row>
    <row r="99" spans="1:83" s="19" customFormat="1" ht="20.100000000000001" customHeight="1" x14ac:dyDescent="0.3">
      <c r="A99" s="9">
        <v>97</v>
      </c>
      <c r="B99" s="9" t="s">
        <v>231</v>
      </c>
      <c r="C99" s="9" t="s">
        <v>232</v>
      </c>
      <c r="D99" s="9" t="s">
        <v>233</v>
      </c>
      <c r="E99" s="15">
        <v>46143</v>
      </c>
      <c r="F99" s="15">
        <v>46325</v>
      </c>
      <c r="G99" s="11">
        <v>1400</v>
      </c>
      <c r="H99" s="12">
        <v>1400</v>
      </c>
      <c r="I99" s="13">
        <v>1</v>
      </c>
      <c r="J99" s="12">
        <f t="shared" si="7"/>
        <v>1400</v>
      </c>
      <c r="K99" s="12">
        <f t="shared" si="8"/>
        <v>77</v>
      </c>
      <c r="L99" s="12">
        <f t="shared" si="9"/>
        <v>182</v>
      </c>
      <c r="M99" s="12">
        <f t="shared" si="10"/>
        <v>1582</v>
      </c>
      <c r="N99" s="12">
        <f t="shared" si="11"/>
        <v>1323</v>
      </c>
      <c r="O99" s="12">
        <v>122.28</v>
      </c>
      <c r="P99" s="12">
        <f t="shared" si="14"/>
        <v>199.28</v>
      </c>
      <c r="Q99" s="12">
        <f t="shared" si="13"/>
        <v>1200.72</v>
      </c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</row>
    <row r="100" spans="1:83" s="16" customFormat="1" ht="20.100000000000001" customHeight="1" x14ac:dyDescent="0.3">
      <c r="A100" s="9">
        <v>98</v>
      </c>
      <c r="B100" s="9" t="s">
        <v>234</v>
      </c>
      <c r="C100" s="9" t="s">
        <v>235</v>
      </c>
      <c r="D100" s="9" t="s">
        <v>233</v>
      </c>
      <c r="E100" s="10">
        <v>46143</v>
      </c>
      <c r="F100" s="10">
        <v>46325</v>
      </c>
      <c r="G100" s="11">
        <v>1400</v>
      </c>
      <c r="H100" s="12">
        <v>1400</v>
      </c>
      <c r="I100" s="13">
        <v>1</v>
      </c>
      <c r="J100" s="12">
        <f t="shared" si="7"/>
        <v>1400</v>
      </c>
      <c r="K100" s="12">
        <f t="shared" si="8"/>
        <v>77</v>
      </c>
      <c r="L100" s="12">
        <f t="shared" si="9"/>
        <v>182</v>
      </c>
      <c r="M100" s="12">
        <f t="shared" si="10"/>
        <v>1582</v>
      </c>
      <c r="N100" s="12">
        <f t="shared" si="11"/>
        <v>1323</v>
      </c>
      <c r="O100" s="12">
        <v>122.28</v>
      </c>
      <c r="P100" s="12">
        <f t="shared" si="14"/>
        <v>199.28</v>
      </c>
      <c r="Q100" s="12">
        <f t="shared" si="13"/>
        <v>1200.72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</row>
    <row r="101" spans="1:83" s="9" customFormat="1" ht="20.100000000000001" customHeight="1" x14ac:dyDescent="0.3">
      <c r="A101" s="9">
        <v>99</v>
      </c>
      <c r="B101" s="9" t="s">
        <v>236</v>
      </c>
      <c r="C101" s="9" t="s">
        <v>237</v>
      </c>
      <c r="D101" s="9" t="s">
        <v>233</v>
      </c>
      <c r="E101" s="10">
        <v>46143</v>
      </c>
      <c r="F101" s="10">
        <v>46325</v>
      </c>
      <c r="G101" s="11">
        <v>1400</v>
      </c>
      <c r="H101" s="12">
        <v>1400</v>
      </c>
      <c r="I101" s="13">
        <v>1</v>
      </c>
      <c r="J101" s="12">
        <f t="shared" si="7"/>
        <v>1400</v>
      </c>
      <c r="K101" s="12">
        <f t="shared" si="8"/>
        <v>77</v>
      </c>
      <c r="L101" s="12">
        <f t="shared" si="9"/>
        <v>182</v>
      </c>
      <c r="M101" s="12">
        <f t="shared" si="10"/>
        <v>1582</v>
      </c>
      <c r="N101" s="12">
        <f t="shared" si="11"/>
        <v>1323</v>
      </c>
      <c r="O101" s="12">
        <v>122.28</v>
      </c>
      <c r="P101" s="12">
        <f t="shared" si="14"/>
        <v>199.28</v>
      </c>
      <c r="Q101" s="12">
        <f t="shared" si="13"/>
        <v>1200.72</v>
      </c>
    </row>
    <row r="102" spans="1:83" s="9" customFormat="1" ht="20.100000000000001" customHeight="1" x14ac:dyDescent="0.3">
      <c r="A102" s="9">
        <v>100</v>
      </c>
      <c r="B102" s="9" t="s">
        <v>238</v>
      </c>
      <c r="C102" s="9" t="s">
        <v>239</v>
      </c>
      <c r="D102" s="9" t="s">
        <v>233</v>
      </c>
      <c r="E102" s="10">
        <v>46143</v>
      </c>
      <c r="F102" s="10">
        <v>46325</v>
      </c>
      <c r="G102" s="11">
        <v>1400</v>
      </c>
      <c r="H102" s="12">
        <v>1400</v>
      </c>
      <c r="I102" s="13">
        <v>1</v>
      </c>
      <c r="J102" s="12">
        <f t="shared" si="7"/>
        <v>1400</v>
      </c>
      <c r="K102" s="12">
        <f t="shared" si="8"/>
        <v>77</v>
      </c>
      <c r="L102" s="12">
        <f t="shared" si="9"/>
        <v>182</v>
      </c>
      <c r="M102" s="12">
        <f t="shared" si="10"/>
        <v>1582</v>
      </c>
      <c r="N102" s="12">
        <f t="shared" si="11"/>
        <v>1323</v>
      </c>
      <c r="O102" s="12">
        <v>122.28</v>
      </c>
      <c r="P102" s="12">
        <f t="shared" si="14"/>
        <v>199.28</v>
      </c>
      <c r="Q102" s="12">
        <f t="shared" si="13"/>
        <v>1200.72</v>
      </c>
    </row>
    <row r="103" spans="1:83" s="9" customFormat="1" ht="20.100000000000001" customHeight="1" x14ac:dyDescent="0.3">
      <c r="A103" s="9">
        <v>101</v>
      </c>
      <c r="B103" s="9" t="s">
        <v>240</v>
      </c>
      <c r="C103" s="9" t="s">
        <v>241</v>
      </c>
      <c r="D103" s="9" t="s">
        <v>242</v>
      </c>
      <c r="E103" s="10">
        <v>46143</v>
      </c>
      <c r="F103" s="10">
        <v>46325</v>
      </c>
      <c r="G103" s="11">
        <v>2500</v>
      </c>
      <c r="H103" s="12">
        <v>2500</v>
      </c>
      <c r="I103" s="13">
        <v>1</v>
      </c>
      <c r="J103" s="12">
        <f t="shared" si="7"/>
        <v>2500</v>
      </c>
      <c r="K103" s="12">
        <f t="shared" si="8"/>
        <v>137.5</v>
      </c>
      <c r="L103" s="12">
        <f t="shared" si="9"/>
        <v>325</v>
      </c>
      <c r="M103" s="12">
        <f t="shared" si="10"/>
        <v>2825</v>
      </c>
      <c r="N103" s="12">
        <f t="shared" si="11"/>
        <v>2362.5</v>
      </c>
      <c r="O103" s="12">
        <v>304.19</v>
      </c>
      <c r="P103" s="12">
        <f t="shared" si="14"/>
        <v>441.69</v>
      </c>
      <c r="Q103" s="12">
        <f t="shared" si="13"/>
        <v>2058.31</v>
      </c>
    </row>
    <row r="104" spans="1:83" s="9" customFormat="1" ht="20.100000000000001" customHeight="1" x14ac:dyDescent="0.3">
      <c r="A104" s="9">
        <v>102</v>
      </c>
      <c r="B104" s="9" t="s">
        <v>243</v>
      </c>
      <c r="C104" s="9" t="s">
        <v>244</v>
      </c>
      <c r="D104" s="9" t="s">
        <v>245</v>
      </c>
      <c r="E104" s="10">
        <v>46143</v>
      </c>
      <c r="F104" s="10">
        <v>46325</v>
      </c>
      <c r="G104" s="11">
        <v>1400</v>
      </c>
      <c r="H104" s="12">
        <v>1400</v>
      </c>
      <c r="I104" s="13">
        <v>1</v>
      </c>
      <c r="J104" s="12">
        <f t="shared" si="7"/>
        <v>1400</v>
      </c>
      <c r="K104" s="12">
        <f t="shared" si="8"/>
        <v>77</v>
      </c>
      <c r="L104" s="12">
        <f t="shared" si="9"/>
        <v>182</v>
      </c>
      <c r="M104" s="12">
        <f t="shared" si="10"/>
        <v>1582</v>
      </c>
      <c r="N104" s="12">
        <f t="shared" si="11"/>
        <v>1323</v>
      </c>
      <c r="O104" s="12">
        <v>122.28</v>
      </c>
      <c r="P104" s="12">
        <f t="shared" si="14"/>
        <v>199.28</v>
      </c>
      <c r="Q104" s="12">
        <f t="shared" si="13"/>
        <v>1200.72</v>
      </c>
    </row>
    <row r="105" spans="1:83" s="9" customFormat="1" ht="20.100000000000001" customHeight="1" x14ac:dyDescent="0.3">
      <c r="A105" s="9">
        <v>103</v>
      </c>
      <c r="B105" s="9" t="s">
        <v>246</v>
      </c>
      <c r="C105" s="9" t="s">
        <v>247</v>
      </c>
      <c r="D105" s="9" t="s">
        <v>23</v>
      </c>
      <c r="E105" s="10">
        <v>46143</v>
      </c>
      <c r="F105" s="10">
        <v>46325</v>
      </c>
      <c r="G105" s="11">
        <v>1400</v>
      </c>
      <c r="H105" s="12">
        <v>1400</v>
      </c>
      <c r="I105" s="13">
        <v>1</v>
      </c>
      <c r="J105" s="12">
        <f t="shared" si="7"/>
        <v>1400</v>
      </c>
      <c r="K105" s="12">
        <f t="shared" si="8"/>
        <v>77</v>
      </c>
      <c r="L105" s="12">
        <f t="shared" si="9"/>
        <v>182</v>
      </c>
      <c r="M105" s="12">
        <f t="shared" si="10"/>
        <v>1582</v>
      </c>
      <c r="N105" s="12">
        <f t="shared" si="11"/>
        <v>1323</v>
      </c>
      <c r="O105" s="12">
        <v>122.28</v>
      </c>
      <c r="P105" s="12">
        <f t="shared" si="14"/>
        <v>199.28</v>
      </c>
      <c r="Q105" s="12">
        <f t="shared" si="13"/>
        <v>1200.72</v>
      </c>
    </row>
    <row r="106" spans="1:83" s="9" customFormat="1" ht="20.100000000000001" customHeight="1" x14ac:dyDescent="0.3">
      <c r="A106" s="9">
        <v>104</v>
      </c>
      <c r="B106" s="9" t="s">
        <v>248</v>
      </c>
      <c r="C106" s="9" t="s">
        <v>249</v>
      </c>
      <c r="D106" s="9" t="s">
        <v>23</v>
      </c>
      <c r="E106" s="10">
        <v>46113</v>
      </c>
      <c r="F106" s="10">
        <v>46295</v>
      </c>
      <c r="G106" s="11">
        <v>1400</v>
      </c>
      <c r="H106" s="12">
        <v>1400</v>
      </c>
      <c r="I106" s="13">
        <v>1</v>
      </c>
      <c r="J106" s="12">
        <f t="shared" si="7"/>
        <v>1400</v>
      </c>
      <c r="K106" s="12">
        <f t="shared" si="8"/>
        <v>77</v>
      </c>
      <c r="L106" s="12">
        <f t="shared" si="9"/>
        <v>182</v>
      </c>
      <c r="M106" s="12">
        <f t="shared" si="10"/>
        <v>1582</v>
      </c>
      <c r="N106" s="12">
        <f t="shared" si="11"/>
        <v>1323</v>
      </c>
      <c r="O106" s="12">
        <v>122.28</v>
      </c>
      <c r="P106" s="12">
        <f t="shared" si="14"/>
        <v>199.28</v>
      </c>
      <c r="Q106" s="12">
        <f t="shared" si="13"/>
        <v>1200.72</v>
      </c>
    </row>
    <row r="107" spans="1:83" s="9" customFormat="1" ht="20.100000000000001" customHeight="1" x14ac:dyDescent="0.3">
      <c r="A107" s="9">
        <v>105</v>
      </c>
      <c r="B107" s="9" t="s">
        <v>250</v>
      </c>
      <c r="C107" s="9" t="s">
        <v>251</v>
      </c>
      <c r="D107" s="9" t="s">
        <v>23</v>
      </c>
      <c r="E107" s="10">
        <v>46113</v>
      </c>
      <c r="F107" s="10">
        <v>46295</v>
      </c>
      <c r="G107" s="11">
        <v>1400</v>
      </c>
      <c r="H107" s="12">
        <v>1400</v>
      </c>
      <c r="I107" s="13">
        <v>1</v>
      </c>
      <c r="J107" s="12">
        <f t="shared" si="7"/>
        <v>1400</v>
      </c>
      <c r="K107" s="12">
        <f t="shared" si="8"/>
        <v>77</v>
      </c>
      <c r="L107" s="12">
        <f t="shared" si="9"/>
        <v>182</v>
      </c>
      <c r="M107" s="12">
        <f t="shared" si="10"/>
        <v>1582</v>
      </c>
      <c r="N107" s="12">
        <f t="shared" si="11"/>
        <v>1323</v>
      </c>
      <c r="O107" s="12">
        <v>122.28</v>
      </c>
      <c r="P107" s="12">
        <f t="shared" si="14"/>
        <v>199.28</v>
      </c>
      <c r="Q107" s="12">
        <f t="shared" si="13"/>
        <v>1200.72</v>
      </c>
    </row>
    <row r="108" spans="1:83" s="9" customFormat="1" ht="20.100000000000001" customHeight="1" x14ac:dyDescent="0.3">
      <c r="A108" s="9">
        <v>106</v>
      </c>
      <c r="B108" s="9" t="s">
        <v>252</v>
      </c>
      <c r="C108" s="9" t="s">
        <v>253</v>
      </c>
      <c r="D108" s="9" t="s">
        <v>23</v>
      </c>
      <c r="E108" s="15">
        <v>46113</v>
      </c>
      <c r="F108" s="15">
        <v>46295</v>
      </c>
      <c r="G108" s="11">
        <v>1400</v>
      </c>
      <c r="H108" s="12">
        <v>1400</v>
      </c>
      <c r="I108" s="13">
        <v>1</v>
      </c>
      <c r="J108" s="12">
        <f t="shared" si="7"/>
        <v>1400</v>
      </c>
      <c r="K108" s="12">
        <f t="shared" si="8"/>
        <v>77</v>
      </c>
      <c r="L108" s="12">
        <f t="shared" si="9"/>
        <v>182</v>
      </c>
      <c r="M108" s="12">
        <f t="shared" si="10"/>
        <v>1582</v>
      </c>
      <c r="N108" s="12">
        <f t="shared" si="11"/>
        <v>1323</v>
      </c>
      <c r="O108" s="12">
        <v>122.28</v>
      </c>
      <c r="P108" s="12">
        <f t="shared" si="14"/>
        <v>199.28</v>
      </c>
      <c r="Q108" s="12">
        <f t="shared" si="13"/>
        <v>1200.72</v>
      </c>
    </row>
    <row r="109" spans="1:83" s="9" customFormat="1" ht="20.100000000000001" customHeight="1" x14ac:dyDescent="0.3">
      <c r="A109" s="9">
        <v>107</v>
      </c>
      <c r="B109" s="9" t="s">
        <v>254</v>
      </c>
      <c r="C109" s="9" t="s">
        <v>255</v>
      </c>
      <c r="D109" s="9" t="s">
        <v>23</v>
      </c>
      <c r="E109" s="10">
        <v>46143</v>
      </c>
      <c r="F109" s="10">
        <v>46325</v>
      </c>
      <c r="G109" s="11">
        <v>1400</v>
      </c>
      <c r="H109" s="12">
        <v>1400</v>
      </c>
      <c r="I109" s="13">
        <v>1</v>
      </c>
      <c r="J109" s="12">
        <f t="shared" si="7"/>
        <v>1400</v>
      </c>
      <c r="K109" s="12">
        <f t="shared" si="8"/>
        <v>77</v>
      </c>
      <c r="L109" s="12">
        <f t="shared" si="9"/>
        <v>182</v>
      </c>
      <c r="M109" s="12">
        <f t="shared" si="10"/>
        <v>1582</v>
      </c>
      <c r="N109" s="12">
        <f t="shared" si="11"/>
        <v>1323</v>
      </c>
      <c r="O109" s="12">
        <v>122.28</v>
      </c>
      <c r="P109" s="12">
        <f t="shared" si="14"/>
        <v>199.28</v>
      </c>
      <c r="Q109" s="12">
        <f t="shared" si="13"/>
        <v>1200.72</v>
      </c>
    </row>
    <row r="110" spans="1:83" s="9" customFormat="1" ht="20.100000000000001" customHeight="1" x14ac:dyDescent="0.3">
      <c r="A110" s="9">
        <v>108</v>
      </c>
      <c r="B110" s="9" t="s">
        <v>256</v>
      </c>
      <c r="C110" s="9" t="s">
        <v>257</v>
      </c>
      <c r="D110" s="9" t="s">
        <v>23</v>
      </c>
      <c r="E110" s="10">
        <v>46143</v>
      </c>
      <c r="F110" s="10">
        <v>46325</v>
      </c>
      <c r="G110" s="11">
        <v>1400</v>
      </c>
      <c r="H110" s="12">
        <v>1400</v>
      </c>
      <c r="I110" s="13">
        <v>1</v>
      </c>
      <c r="J110" s="12">
        <f t="shared" si="7"/>
        <v>1400</v>
      </c>
      <c r="K110" s="12">
        <f t="shared" si="8"/>
        <v>77</v>
      </c>
      <c r="L110" s="12">
        <f t="shared" si="9"/>
        <v>182</v>
      </c>
      <c r="M110" s="12">
        <f t="shared" si="10"/>
        <v>1582</v>
      </c>
      <c r="N110" s="12">
        <f t="shared" si="11"/>
        <v>1323</v>
      </c>
      <c r="O110" s="12">
        <v>122.28</v>
      </c>
      <c r="P110" s="12">
        <f t="shared" si="14"/>
        <v>199.28</v>
      </c>
      <c r="Q110" s="12">
        <f t="shared" si="13"/>
        <v>1200.72</v>
      </c>
    </row>
    <row r="111" spans="1:83" s="9" customFormat="1" ht="20.100000000000001" customHeight="1" x14ac:dyDescent="0.3">
      <c r="A111" s="9">
        <v>109</v>
      </c>
      <c r="B111" s="9" t="s">
        <v>258</v>
      </c>
      <c r="C111" s="9" t="s">
        <v>259</v>
      </c>
      <c r="D111" s="9" t="s">
        <v>23</v>
      </c>
      <c r="E111" s="10">
        <v>46143</v>
      </c>
      <c r="F111" s="10">
        <v>46325</v>
      </c>
      <c r="G111" s="11">
        <v>1400</v>
      </c>
      <c r="H111" s="12">
        <v>1400</v>
      </c>
      <c r="I111" s="13">
        <v>1</v>
      </c>
      <c r="J111" s="12">
        <f t="shared" si="7"/>
        <v>1400</v>
      </c>
      <c r="K111" s="12">
        <f t="shared" si="8"/>
        <v>77</v>
      </c>
      <c r="L111" s="12">
        <f t="shared" si="9"/>
        <v>182</v>
      </c>
      <c r="M111" s="12">
        <f t="shared" si="10"/>
        <v>1582</v>
      </c>
      <c r="N111" s="12">
        <f t="shared" si="11"/>
        <v>1323</v>
      </c>
      <c r="O111" s="12">
        <v>122.28</v>
      </c>
      <c r="P111" s="12">
        <f t="shared" si="14"/>
        <v>199.28</v>
      </c>
      <c r="Q111" s="12">
        <f t="shared" si="13"/>
        <v>1200.72</v>
      </c>
    </row>
    <row r="112" spans="1:83" s="9" customFormat="1" ht="20.100000000000001" customHeight="1" x14ac:dyDescent="0.3">
      <c r="A112" s="9">
        <v>110</v>
      </c>
      <c r="B112" s="9" t="s">
        <v>260</v>
      </c>
      <c r="C112" s="17" t="s">
        <v>261</v>
      </c>
      <c r="D112" s="9" t="s">
        <v>23</v>
      </c>
      <c r="E112" s="10">
        <v>46113</v>
      </c>
      <c r="F112" s="10">
        <v>46295</v>
      </c>
      <c r="G112" s="11">
        <v>1400</v>
      </c>
      <c r="H112" s="12">
        <v>1400</v>
      </c>
      <c r="I112" s="13">
        <v>1</v>
      </c>
      <c r="J112" s="12">
        <f t="shared" si="7"/>
        <v>1400</v>
      </c>
      <c r="K112" s="12">
        <f t="shared" si="8"/>
        <v>77</v>
      </c>
      <c r="L112" s="12">
        <f t="shared" si="9"/>
        <v>182</v>
      </c>
      <c r="M112" s="12">
        <f t="shared" si="10"/>
        <v>1582</v>
      </c>
      <c r="N112" s="12">
        <f t="shared" si="11"/>
        <v>1323</v>
      </c>
      <c r="O112" s="12">
        <v>122.28</v>
      </c>
      <c r="P112" s="12">
        <f t="shared" si="14"/>
        <v>199.28</v>
      </c>
      <c r="Q112" s="12">
        <f t="shared" si="13"/>
        <v>1200.72</v>
      </c>
    </row>
    <row r="113" spans="1:83" s="9" customFormat="1" ht="20.100000000000001" customHeight="1" x14ac:dyDescent="0.3">
      <c r="A113" s="9">
        <v>111</v>
      </c>
      <c r="B113" s="9" t="s">
        <v>262</v>
      </c>
      <c r="C113" s="9" t="s">
        <v>263</v>
      </c>
      <c r="D113" s="9" t="s">
        <v>23</v>
      </c>
      <c r="E113" s="10">
        <v>46113</v>
      </c>
      <c r="F113" s="10">
        <v>46295</v>
      </c>
      <c r="G113" s="11">
        <v>1400</v>
      </c>
      <c r="H113" s="12">
        <v>1400</v>
      </c>
      <c r="I113" s="13">
        <v>1</v>
      </c>
      <c r="J113" s="12">
        <f t="shared" si="7"/>
        <v>1400</v>
      </c>
      <c r="K113" s="12">
        <f t="shared" si="8"/>
        <v>77</v>
      </c>
      <c r="L113" s="12">
        <f t="shared" si="9"/>
        <v>182</v>
      </c>
      <c r="M113" s="12">
        <f t="shared" si="10"/>
        <v>1582</v>
      </c>
      <c r="N113" s="12">
        <f t="shared" si="11"/>
        <v>1323</v>
      </c>
      <c r="O113" s="12">
        <v>122.28</v>
      </c>
      <c r="P113" s="12">
        <f t="shared" si="14"/>
        <v>199.28</v>
      </c>
      <c r="Q113" s="12">
        <f t="shared" si="13"/>
        <v>1200.72</v>
      </c>
    </row>
    <row r="114" spans="1:83" s="9" customFormat="1" ht="20.100000000000001" customHeight="1" x14ac:dyDescent="0.3">
      <c r="A114" s="9">
        <v>112</v>
      </c>
      <c r="B114" s="9" t="s">
        <v>264</v>
      </c>
      <c r="C114" s="9" t="s">
        <v>265</v>
      </c>
      <c r="D114" s="9" t="s">
        <v>23</v>
      </c>
      <c r="E114" s="10">
        <v>46143</v>
      </c>
      <c r="F114" s="10">
        <v>46325</v>
      </c>
      <c r="G114" s="11">
        <v>1400</v>
      </c>
      <c r="H114" s="12">
        <v>1400</v>
      </c>
      <c r="I114" s="13">
        <v>1</v>
      </c>
      <c r="J114" s="12">
        <f t="shared" si="7"/>
        <v>1400</v>
      </c>
      <c r="K114" s="12">
        <f t="shared" si="8"/>
        <v>77</v>
      </c>
      <c r="L114" s="12">
        <f t="shared" si="9"/>
        <v>182</v>
      </c>
      <c r="M114" s="12">
        <f t="shared" si="10"/>
        <v>1582</v>
      </c>
      <c r="N114" s="12">
        <f t="shared" si="11"/>
        <v>1323</v>
      </c>
      <c r="O114" s="12">
        <v>122.28</v>
      </c>
      <c r="P114" s="12">
        <f t="shared" si="14"/>
        <v>199.28</v>
      </c>
      <c r="Q114" s="12">
        <f t="shared" si="13"/>
        <v>1200.72</v>
      </c>
    </row>
    <row r="115" spans="1:83" s="9" customFormat="1" ht="20.100000000000001" customHeight="1" x14ac:dyDescent="0.3">
      <c r="A115" s="9">
        <v>113</v>
      </c>
      <c r="B115" s="9" t="s">
        <v>266</v>
      </c>
      <c r="C115" s="9" t="s">
        <v>267</v>
      </c>
      <c r="D115" s="9" t="s">
        <v>23</v>
      </c>
      <c r="E115" s="15">
        <v>46113</v>
      </c>
      <c r="F115" s="15">
        <v>46295</v>
      </c>
      <c r="G115" s="11">
        <v>1400</v>
      </c>
      <c r="H115" s="12">
        <v>1400</v>
      </c>
      <c r="I115" s="13">
        <v>1</v>
      </c>
      <c r="J115" s="12">
        <f t="shared" si="7"/>
        <v>1400</v>
      </c>
      <c r="K115" s="12">
        <f t="shared" si="8"/>
        <v>77</v>
      </c>
      <c r="L115" s="12">
        <f t="shared" si="9"/>
        <v>182</v>
      </c>
      <c r="M115" s="12">
        <f t="shared" si="10"/>
        <v>1582</v>
      </c>
      <c r="N115" s="12">
        <f t="shared" si="11"/>
        <v>1323</v>
      </c>
      <c r="O115" s="12">
        <v>122.28</v>
      </c>
      <c r="P115" s="12">
        <f t="shared" si="14"/>
        <v>199.28</v>
      </c>
      <c r="Q115" s="12">
        <f t="shared" si="13"/>
        <v>1200.72</v>
      </c>
    </row>
    <row r="116" spans="1:83" s="9" customFormat="1" ht="20.100000000000001" customHeight="1" x14ac:dyDescent="0.3">
      <c r="A116" s="9">
        <v>114</v>
      </c>
      <c r="B116" s="9" t="s">
        <v>268</v>
      </c>
      <c r="C116" s="9" t="s">
        <v>269</v>
      </c>
      <c r="D116" s="9" t="s">
        <v>23</v>
      </c>
      <c r="E116" s="10">
        <v>46143</v>
      </c>
      <c r="F116" s="10">
        <v>46325</v>
      </c>
      <c r="G116" s="11">
        <v>1400</v>
      </c>
      <c r="H116" s="12">
        <v>1400</v>
      </c>
      <c r="I116" s="13">
        <v>1</v>
      </c>
      <c r="J116" s="12">
        <f t="shared" si="7"/>
        <v>1400</v>
      </c>
      <c r="K116" s="12">
        <f t="shared" si="8"/>
        <v>77</v>
      </c>
      <c r="L116" s="12">
        <f t="shared" si="9"/>
        <v>182</v>
      </c>
      <c r="M116" s="12">
        <f t="shared" si="10"/>
        <v>1582</v>
      </c>
      <c r="N116" s="12">
        <f t="shared" si="11"/>
        <v>1323</v>
      </c>
      <c r="O116" s="12">
        <v>122.28</v>
      </c>
      <c r="P116" s="12">
        <f t="shared" si="14"/>
        <v>199.28</v>
      </c>
      <c r="Q116" s="12">
        <f t="shared" si="13"/>
        <v>1200.72</v>
      </c>
    </row>
    <row r="117" spans="1:83" s="9" customFormat="1" ht="20.100000000000001" customHeight="1" x14ac:dyDescent="0.3">
      <c r="A117" s="9">
        <v>115</v>
      </c>
      <c r="B117" s="9" t="s">
        <v>270</v>
      </c>
      <c r="C117" s="9" t="s">
        <v>271</v>
      </c>
      <c r="D117" s="9" t="s">
        <v>116</v>
      </c>
      <c r="E117" s="10">
        <v>46143</v>
      </c>
      <c r="F117" s="10">
        <v>46325</v>
      </c>
      <c r="G117" s="11">
        <v>1400</v>
      </c>
      <c r="H117" s="12">
        <v>1400</v>
      </c>
      <c r="I117" s="13">
        <v>1</v>
      </c>
      <c r="J117" s="12">
        <f t="shared" si="7"/>
        <v>1400</v>
      </c>
      <c r="K117" s="12">
        <f t="shared" si="8"/>
        <v>77</v>
      </c>
      <c r="L117" s="12">
        <f t="shared" si="9"/>
        <v>182</v>
      </c>
      <c r="M117" s="12">
        <f t="shared" si="10"/>
        <v>1582</v>
      </c>
      <c r="N117" s="12">
        <f t="shared" si="11"/>
        <v>1323</v>
      </c>
      <c r="O117" s="12">
        <v>122.28</v>
      </c>
      <c r="P117" s="12">
        <f t="shared" si="14"/>
        <v>199.28</v>
      </c>
      <c r="Q117" s="12">
        <f t="shared" si="13"/>
        <v>1200.72</v>
      </c>
    </row>
    <row r="118" spans="1:83" s="9" customFormat="1" ht="20.100000000000001" customHeight="1" x14ac:dyDescent="0.3">
      <c r="A118" s="9">
        <v>116</v>
      </c>
      <c r="B118" s="9" t="s">
        <v>272</v>
      </c>
      <c r="C118" s="9" t="s">
        <v>273</v>
      </c>
      <c r="D118" s="9" t="s">
        <v>274</v>
      </c>
      <c r="E118" s="10">
        <v>46113</v>
      </c>
      <c r="F118" s="10">
        <v>46295</v>
      </c>
      <c r="G118" s="11">
        <v>1400</v>
      </c>
      <c r="H118" s="12">
        <v>1400</v>
      </c>
      <c r="I118" s="13">
        <v>1</v>
      </c>
      <c r="J118" s="12">
        <f t="shared" si="7"/>
        <v>1400</v>
      </c>
      <c r="K118" s="12">
        <f t="shared" si="8"/>
        <v>77</v>
      </c>
      <c r="L118" s="12">
        <f t="shared" si="9"/>
        <v>182</v>
      </c>
      <c r="M118" s="12">
        <f t="shared" si="10"/>
        <v>1582</v>
      </c>
      <c r="N118" s="12">
        <f t="shared" si="11"/>
        <v>1323</v>
      </c>
      <c r="O118" s="12">
        <v>122.28</v>
      </c>
      <c r="P118" s="12">
        <f t="shared" si="14"/>
        <v>199.28</v>
      </c>
      <c r="Q118" s="12">
        <f t="shared" si="13"/>
        <v>1200.72</v>
      </c>
    </row>
    <row r="119" spans="1:83" s="9" customFormat="1" ht="20.100000000000001" customHeight="1" x14ac:dyDescent="0.3">
      <c r="A119" s="9">
        <v>117</v>
      </c>
      <c r="B119" s="9" t="s">
        <v>275</v>
      </c>
      <c r="C119" s="9" t="s">
        <v>276</v>
      </c>
      <c r="D119" s="9" t="s">
        <v>277</v>
      </c>
      <c r="E119" s="10">
        <v>46113</v>
      </c>
      <c r="F119" s="10">
        <v>46295</v>
      </c>
      <c r="G119" s="11">
        <v>1400</v>
      </c>
      <c r="H119" s="12">
        <v>1400</v>
      </c>
      <c r="I119" s="13">
        <v>1</v>
      </c>
      <c r="J119" s="12">
        <f t="shared" si="7"/>
        <v>1400</v>
      </c>
      <c r="K119" s="12">
        <f t="shared" si="8"/>
        <v>77</v>
      </c>
      <c r="L119" s="12">
        <f t="shared" si="9"/>
        <v>182</v>
      </c>
      <c r="M119" s="12">
        <f t="shared" si="10"/>
        <v>1582</v>
      </c>
      <c r="N119" s="12">
        <f t="shared" si="11"/>
        <v>1323</v>
      </c>
      <c r="O119" s="12">
        <v>122.28</v>
      </c>
      <c r="P119" s="12">
        <f t="shared" si="14"/>
        <v>199.28</v>
      </c>
      <c r="Q119" s="12">
        <f t="shared" si="13"/>
        <v>1200.72</v>
      </c>
    </row>
    <row r="120" spans="1:83" s="9" customFormat="1" ht="20.100000000000001" customHeight="1" x14ac:dyDescent="0.3">
      <c r="A120" s="9">
        <v>118</v>
      </c>
      <c r="B120" s="9" t="s">
        <v>278</v>
      </c>
      <c r="C120" s="9" t="s">
        <v>279</v>
      </c>
      <c r="D120" s="9" t="s">
        <v>166</v>
      </c>
      <c r="E120" s="15">
        <v>46113</v>
      </c>
      <c r="F120" s="15">
        <v>46295</v>
      </c>
      <c r="G120" s="11">
        <v>1400</v>
      </c>
      <c r="H120" s="12">
        <v>1400</v>
      </c>
      <c r="I120" s="13">
        <v>1</v>
      </c>
      <c r="J120" s="12">
        <f t="shared" si="7"/>
        <v>1400</v>
      </c>
      <c r="K120" s="12">
        <f t="shared" si="8"/>
        <v>77</v>
      </c>
      <c r="L120" s="12">
        <f t="shared" si="9"/>
        <v>182</v>
      </c>
      <c r="M120" s="12">
        <f t="shared" si="10"/>
        <v>1582</v>
      </c>
      <c r="N120" s="12">
        <f t="shared" si="11"/>
        <v>1323</v>
      </c>
      <c r="O120" s="12">
        <v>122.28</v>
      </c>
      <c r="P120" s="12">
        <f t="shared" si="14"/>
        <v>199.28</v>
      </c>
      <c r="Q120" s="12">
        <f t="shared" si="13"/>
        <v>1200.72</v>
      </c>
    </row>
    <row r="121" spans="1:83" s="9" customFormat="1" ht="20.100000000000001" customHeight="1" x14ac:dyDescent="0.3">
      <c r="A121" s="9">
        <v>119</v>
      </c>
      <c r="B121" s="9" t="s">
        <v>280</v>
      </c>
      <c r="C121" s="9" t="s">
        <v>281</v>
      </c>
      <c r="D121" s="9" t="s">
        <v>166</v>
      </c>
      <c r="E121" s="15">
        <v>46113</v>
      </c>
      <c r="F121" s="15">
        <v>46295</v>
      </c>
      <c r="G121" s="11">
        <v>1400</v>
      </c>
      <c r="H121" s="12">
        <v>1400</v>
      </c>
      <c r="I121" s="13">
        <v>1</v>
      </c>
      <c r="J121" s="12">
        <f t="shared" si="7"/>
        <v>1400</v>
      </c>
      <c r="K121" s="12">
        <f t="shared" si="8"/>
        <v>77</v>
      </c>
      <c r="L121" s="12">
        <f t="shared" si="9"/>
        <v>182</v>
      </c>
      <c r="M121" s="12">
        <f t="shared" si="10"/>
        <v>1582</v>
      </c>
      <c r="N121" s="12">
        <f t="shared" si="11"/>
        <v>1323</v>
      </c>
      <c r="O121" s="12">
        <v>122.28</v>
      </c>
      <c r="P121" s="12">
        <f t="shared" si="14"/>
        <v>199.28</v>
      </c>
      <c r="Q121" s="12">
        <f t="shared" si="13"/>
        <v>1200.72</v>
      </c>
    </row>
    <row r="122" spans="1:83" s="9" customFormat="1" ht="20.100000000000001" customHeight="1" x14ac:dyDescent="0.3">
      <c r="A122" s="9">
        <v>120</v>
      </c>
      <c r="B122" s="9" t="s">
        <v>282</v>
      </c>
      <c r="C122" s="9" t="s">
        <v>283</v>
      </c>
      <c r="D122" s="9" t="s">
        <v>166</v>
      </c>
      <c r="E122" s="15">
        <v>46113</v>
      </c>
      <c r="F122" s="15">
        <v>46295</v>
      </c>
      <c r="G122" s="11">
        <v>1400</v>
      </c>
      <c r="H122" s="12">
        <v>1400</v>
      </c>
      <c r="I122" s="13">
        <v>1</v>
      </c>
      <c r="J122" s="12">
        <f t="shared" si="7"/>
        <v>1400</v>
      </c>
      <c r="K122" s="12">
        <f t="shared" si="8"/>
        <v>77</v>
      </c>
      <c r="L122" s="12">
        <f t="shared" si="9"/>
        <v>182</v>
      </c>
      <c r="M122" s="12">
        <f t="shared" si="10"/>
        <v>1582</v>
      </c>
      <c r="N122" s="12">
        <f t="shared" si="11"/>
        <v>1323</v>
      </c>
      <c r="O122" s="12">
        <v>122.28</v>
      </c>
      <c r="P122" s="12">
        <f t="shared" si="14"/>
        <v>199.28</v>
      </c>
      <c r="Q122" s="12">
        <f t="shared" si="13"/>
        <v>1200.72</v>
      </c>
    </row>
    <row r="123" spans="1:83" s="9" customFormat="1" ht="20.100000000000001" customHeight="1" x14ac:dyDescent="0.3">
      <c r="A123" s="9">
        <v>121</v>
      </c>
      <c r="B123" s="9" t="s">
        <v>284</v>
      </c>
      <c r="C123" s="9" t="s">
        <v>285</v>
      </c>
      <c r="D123" s="9" t="s">
        <v>166</v>
      </c>
      <c r="E123" s="15">
        <v>46113</v>
      </c>
      <c r="F123" s="15">
        <v>46266</v>
      </c>
      <c r="G123" s="11">
        <v>1400</v>
      </c>
      <c r="H123" s="12">
        <v>1400</v>
      </c>
      <c r="I123" s="13">
        <v>1</v>
      </c>
      <c r="J123" s="12">
        <f t="shared" si="7"/>
        <v>1400</v>
      </c>
      <c r="K123" s="12">
        <f t="shared" si="8"/>
        <v>77</v>
      </c>
      <c r="L123" s="12">
        <f t="shared" si="9"/>
        <v>182</v>
      </c>
      <c r="M123" s="12">
        <f t="shared" si="10"/>
        <v>1582</v>
      </c>
      <c r="N123" s="12">
        <f t="shared" si="11"/>
        <v>1323</v>
      </c>
      <c r="O123" s="12">
        <v>122.28</v>
      </c>
      <c r="P123" s="12">
        <f t="shared" si="14"/>
        <v>199.28</v>
      </c>
      <c r="Q123" s="12">
        <f t="shared" si="13"/>
        <v>1200.72</v>
      </c>
    </row>
    <row r="124" spans="1:83" s="9" customFormat="1" ht="20.100000000000001" customHeight="1" x14ac:dyDescent="0.3">
      <c r="A124" s="9">
        <v>122</v>
      </c>
      <c r="B124" s="9" t="s">
        <v>286</v>
      </c>
      <c r="C124" s="9" t="s">
        <v>287</v>
      </c>
      <c r="D124" s="9" t="s">
        <v>166</v>
      </c>
      <c r="E124" s="15">
        <v>46113</v>
      </c>
      <c r="F124" s="15">
        <v>46266</v>
      </c>
      <c r="G124" s="11">
        <v>1400</v>
      </c>
      <c r="H124" s="12">
        <v>1400</v>
      </c>
      <c r="I124" s="13">
        <v>1</v>
      </c>
      <c r="J124" s="12">
        <f t="shared" si="7"/>
        <v>1400</v>
      </c>
      <c r="K124" s="12">
        <f t="shared" si="8"/>
        <v>77</v>
      </c>
      <c r="L124" s="12">
        <f t="shared" si="9"/>
        <v>182</v>
      </c>
      <c r="M124" s="12">
        <f t="shared" si="10"/>
        <v>1582</v>
      </c>
      <c r="N124" s="12">
        <f t="shared" si="11"/>
        <v>1323</v>
      </c>
      <c r="O124" s="12">
        <v>122.28</v>
      </c>
      <c r="P124" s="12">
        <f t="shared" si="14"/>
        <v>199.28</v>
      </c>
      <c r="Q124" s="12">
        <f t="shared" si="13"/>
        <v>1200.72</v>
      </c>
    </row>
    <row r="125" spans="1:83" s="9" customFormat="1" ht="20.100000000000001" customHeight="1" x14ac:dyDescent="0.3">
      <c r="A125" s="9">
        <v>123</v>
      </c>
      <c r="B125" s="9" t="s">
        <v>288</v>
      </c>
      <c r="C125" s="9" t="s">
        <v>289</v>
      </c>
      <c r="D125" s="9" t="s">
        <v>23</v>
      </c>
      <c r="E125" s="10">
        <v>46113</v>
      </c>
      <c r="F125" s="10">
        <v>46295</v>
      </c>
      <c r="G125" s="11">
        <v>1400</v>
      </c>
      <c r="H125" s="12">
        <v>1400</v>
      </c>
      <c r="I125" s="13">
        <v>1</v>
      </c>
      <c r="J125" s="12">
        <f t="shared" si="7"/>
        <v>1400</v>
      </c>
      <c r="K125" s="12">
        <f t="shared" si="8"/>
        <v>77</v>
      </c>
      <c r="L125" s="12">
        <f t="shared" si="9"/>
        <v>182</v>
      </c>
      <c r="M125" s="12">
        <f t="shared" si="10"/>
        <v>1582</v>
      </c>
      <c r="N125" s="12">
        <f t="shared" si="11"/>
        <v>1323</v>
      </c>
      <c r="O125" s="12">
        <v>122.28</v>
      </c>
      <c r="P125" s="12">
        <f t="shared" si="14"/>
        <v>199.28</v>
      </c>
      <c r="Q125" s="12">
        <f t="shared" si="13"/>
        <v>1200.72</v>
      </c>
    </row>
    <row r="126" spans="1:83" s="9" customFormat="1" ht="20.100000000000001" customHeight="1" x14ac:dyDescent="0.3">
      <c r="A126" s="9">
        <v>124</v>
      </c>
      <c r="B126" s="9" t="s">
        <v>290</v>
      </c>
      <c r="C126" s="9" t="s">
        <v>291</v>
      </c>
      <c r="D126" s="9" t="s">
        <v>166</v>
      </c>
      <c r="E126" s="15">
        <v>46113</v>
      </c>
      <c r="F126" s="15">
        <v>46295</v>
      </c>
      <c r="G126" s="11">
        <v>1400</v>
      </c>
      <c r="H126" s="12">
        <v>1400</v>
      </c>
      <c r="I126" s="13">
        <v>1</v>
      </c>
      <c r="J126" s="12">
        <f t="shared" si="7"/>
        <v>1400</v>
      </c>
      <c r="K126" s="12">
        <f t="shared" si="8"/>
        <v>77</v>
      </c>
      <c r="L126" s="12">
        <f t="shared" si="9"/>
        <v>182</v>
      </c>
      <c r="M126" s="12">
        <f t="shared" si="10"/>
        <v>1582</v>
      </c>
      <c r="N126" s="12">
        <f t="shared" si="11"/>
        <v>1323</v>
      </c>
      <c r="O126" s="12">
        <v>122.28</v>
      </c>
      <c r="P126" s="12">
        <f t="shared" si="14"/>
        <v>199.28</v>
      </c>
      <c r="Q126" s="12">
        <f t="shared" si="13"/>
        <v>1200.72</v>
      </c>
    </row>
    <row r="127" spans="1:83" s="16" customFormat="1" ht="20.100000000000001" customHeight="1" x14ac:dyDescent="0.3">
      <c r="A127" s="9">
        <v>125</v>
      </c>
      <c r="B127" s="9" t="s">
        <v>292</v>
      </c>
      <c r="C127" s="9" t="s">
        <v>293</v>
      </c>
      <c r="D127" s="9" t="s">
        <v>166</v>
      </c>
      <c r="E127" s="15">
        <v>46113</v>
      </c>
      <c r="F127" s="15">
        <v>46295</v>
      </c>
      <c r="G127" s="11">
        <v>1400</v>
      </c>
      <c r="H127" s="12">
        <v>1400</v>
      </c>
      <c r="I127" s="13">
        <v>1</v>
      </c>
      <c r="J127" s="12">
        <f t="shared" si="7"/>
        <v>1400</v>
      </c>
      <c r="K127" s="12">
        <f t="shared" si="8"/>
        <v>77</v>
      </c>
      <c r="L127" s="12">
        <f t="shared" si="9"/>
        <v>182</v>
      </c>
      <c r="M127" s="12">
        <f t="shared" si="10"/>
        <v>1582</v>
      </c>
      <c r="N127" s="12">
        <f t="shared" si="11"/>
        <v>1323</v>
      </c>
      <c r="O127" s="12">
        <v>122.28</v>
      </c>
      <c r="P127" s="12">
        <f t="shared" si="14"/>
        <v>199.28</v>
      </c>
      <c r="Q127" s="12">
        <f t="shared" si="13"/>
        <v>1200.72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</row>
    <row r="128" spans="1:83" s="9" customFormat="1" ht="20.100000000000001" customHeight="1" x14ac:dyDescent="0.3">
      <c r="A128" s="9">
        <v>126</v>
      </c>
      <c r="B128" s="9" t="s">
        <v>294</v>
      </c>
      <c r="C128" s="9" t="s">
        <v>295</v>
      </c>
      <c r="D128" s="9" t="s">
        <v>296</v>
      </c>
      <c r="E128" s="10">
        <v>46113</v>
      </c>
      <c r="F128" s="10">
        <v>46295</v>
      </c>
      <c r="G128" s="11">
        <v>1400</v>
      </c>
      <c r="H128" s="12">
        <v>1400</v>
      </c>
      <c r="I128" s="13">
        <v>1</v>
      </c>
      <c r="J128" s="12">
        <f t="shared" si="7"/>
        <v>1400</v>
      </c>
      <c r="K128" s="12">
        <f t="shared" si="8"/>
        <v>77</v>
      </c>
      <c r="L128" s="12">
        <f t="shared" si="9"/>
        <v>182</v>
      </c>
      <c r="M128" s="12">
        <f t="shared" si="10"/>
        <v>1582</v>
      </c>
      <c r="N128" s="12">
        <f t="shared" si="11"/>
        <v>1323</v>
      </c>
      <c r="O128" s="12">
        <v>122.28</v>
      </c>
      <c r="P128" s="12">
        <f t="shared" si="14"/>
        <v>199.28</v>
      </c>
      <c r="Q128" s="12">
        <f t="shared" si="13"/>
        <v>1200.72</v>
      </c>
    </row>
    <row r="129" spans="1:83" s="9" customFormat="1" ht="20.100000000000001" customHeight="1" x14ac:dyDescent="0.3">
      <c r="A129" s="9">
        <v>127</v>
      </c>
      <c r="B129" s="9" t="s">
        <v>297</v>
      </c>
      <c r="C129" s="17" t="s">
        <v>298</v>
      </c>
      <c r="D129" s="9" t="s">
        <v>181</v>
      </c>
      <c r="E129" s="10">
        <v>46113</v>
      </c>
      <c r="F129" s="10">
        <v>46295</v>
      </c>
      <c r="G129" s="11">
        <v>1400</v>
      </c>
      <c r="H129" s="12">
        <v>1400</v>
      </c>
      <c r="I129" s="13">
        <v>1</v>
      </c>
      <c r="J129" s="12">
        <f t="shared" si="7"/>
        <v>1400</v>
      </c>
      <c r="K129" s="12">
        <f t="shared" si="8"/>
        <v>77</v>
      </c>
      <c r="L129" s="12">
        <f t="shared" si="9"/>
        <v>182</v>
      </c>
      <c r="M129" s="12">
        <f t="shared" si="10"/>
        <v>1582</v>
      </c>
      <c r="N129" s="12">
        <f t="shared" si="11"/>
        <v>1323</v>
      </c>
      <c r="O129" s="12">
        <v>122.28</v>
      </c>
      <c r="P129" s="12">
        <f t="shared" si="14"/>
        <v>199.28</v>
      </c>
      <c r="Q129" s="12">
        <f t="shared" si="13"/>
        <v>1200.72</v>
      </c>
    </row>
    <row r="130" spans="1:83" s="9" customFormat="1" ht="20.100000000000001" customHeight="1" x14ac:dyDescent="0.3">
      <c r="A130" s="9">
        <v>128</v>
      </c>
      <c r="B130" s="9" t="s">
        <v>299</v>
      </c>
      <c r="C130" s="9" t="s">
        <v>300</v>
      </c>
      <c r="D130" s="9" t="s">
        <v>181</v>
      </c>
      <c r="E130" s="10">
        <v>46113</v>
      </c>
      <c r="F130" s="10">
        <v>46295</v>
      </c>
      <c r="G130" s="11">
        <v>1400</v>
      </c>
      <c r="H130" s="12">
        <v>1400</v>
      </c>
      <c r="I130" s="13">
        <v>1</v>
      </c>
      <c r="J130" s="12">
        <f t="shared" si="7"/>
        <v>1400</v>
      </c>
      <c r="K130" s="12">
        <f t="shared" si="8"/>
        <v>77</v>
      </c>
      <c r="L130" s="12">
        <f t="shared" si="9"/>
        <v>182</v>
      </c>
      <c r="M130" s="12">
        <f t="shared" si="10"/>
        <v>1582</v>
      </c>
      <c r="N130" s="12">
        <f t="shared" si="11"/>
        <v>1323</v>
      </c>
      <c r="O130" s="12">
        <v>122.28</v>
      </c>
      <c r="P130" s="12">
        <f t="shared" si="14"/>
        <v>199.28</v>
      </c>
      <c r="Q130" s="12">
        <f t="shared" si="13"/>
        <v>1200.72</v>
      </c>
    </row>
    <row r="131" spans="1:83" s="9" customFormat="1" ht="20.100000000000001" customHeight="1" x14ac:dyDescent="0.3">
      <c r="A131" s="9">
        <v>129</v>
      </c>
      <c r="B131" s="9" t="s">
        <v>301</v>
      </c>
      <c r="C131" s="9" t="s">
        <v>302</v>
      </c>
      <c r="D131" s="9" t="s">
        <v>181</v>
      </c>
      <c r="E131" s="10">
        <v>46113</v>
      </c>
      <c r="F131" s="10">
        <v>46295</v>
      </c>
      <c r="G131" s="11">
        <v>1400</v>
      </c>
      <c r="H131" s="12">
        <v>1400</v>
      </c>
      <c r="I131" s="13">
        <v>1</v>
      </c>
      <c r="J131" s="12">
        <f t="shared" ref="J131:J194" si="15">H131*I131</f>
        <v>1400</v>
      </c>
      <c r="K131" s="12">
        <f t="shared" ref="K131:K194" si="16">J131*0.055</f>
        <v>77</v>
      </c>
      <c r="L131" s="12">
        <f t="shared" ref="L131:L194" si="17">0.13*J131</f>
        <v>182</v>
      </c>
      <c r="M131" s="12">
        <f t="shared" ref="M131:M194" si="18">J131+L131</f>
        <v>1582</v>
      </c>
      <c r="N131" s="12">
        <f t="shared" ref="N131:N194" si="19">J131-K131</f>
        <v>1323</v>
      </c>
      <c r="O131" s="12">
        <v>122.28</v>
      </c>
      <c r="P131" s="12">
        <f t="shared" si="14"/>
        <v>199.28</v>
      </c>
      <c r="Q131" s="12">
        <f t="shared" ref="Q131:Q194" si="20">J131-P131</f>
        <v>1200.72</v>
      </c>
    </row>
    <row r="132" spans="1:83" s="9" customFormat="1" ht="20.100000000000001" customHeight="1" x14ac:dyDescent="0.3">
      <c r="A132" s="9">
        <v>130</v>
      </c>
      <c r="B132" s="9" t="s">
        <v>303</v>
      </c>
      <c r="C132" s="9" t="s">
        <v>304</v>
      </c>
      <c r="D132" s="9" t="s">
        <v>181</v>
      </c>
      <c r="E132" s="10">
        <v>46113</v>
      </c>
      <c r="F132" s="10">
        <v>46295</v>
      </c>
      <c r="G132" s="11">
        <v>1400</v>
      </c>
      <c r="H132" s="12">
        <v>1400</v>
      </c>
      <c r="I132" s="13">
        <v>1</v>
      </c>
      <c r="J132" s="12">
        <f t="shared" si="15"/>
        <v>1400</v>
      </c>
      <c r="K132" s="12">
        <f t="shared" si="16"/>
        <v>77</v>
      </c>
      <c r="L132" s="12">
        <f t="shared" si="17"/>
        <v>182</v>
      </c>
      <c r="M132" s="12">
        <f t="shared" si="18"/>
        <v>1582</v>
      </c>
      <c r="N132" s="12">
        <f t="shared" si="19"/>
        <v>1323</v>
      </c>
      <c r="O132" s="12">
        <v>122.28</v>
      </c>
      <c r="P132" s="12">
        <f t="shared" si="14"/>
        <v>199.28</v>
      </c>
      <c r="Q132" s="12">
        <f t="shared" si="20"/>
        <v>1200.72</v>
      </c>
    </row>
    <row r="133" spans="1:83" s="9" customFormat="1" ht="20.100000000000001" customHeight="1" x14ac:dyDescent="0.3">
      <c r="A133" s="9">
        <v>131</v>
      </c>
      <c r="B133" s="9" t="s">
        <v>305</v>
      </c>
      <c r="C133" s="9" t="s">
        <v>306</v>
      </c>
      <c r="D133" s="9" t="s">
        <v>307</v>
      </c>
      <c r="E133" s="10">
        <v>46143</v>
      </c>
      <c r="F133" s="10">
        <v>46325</v>
      </c>
      <c r="G133" s="11">
        <v>1400</v>
      </c>
      <c r="H133" s="12">
        <v>1400</v>
      </c>
      <c r="I133" s="13">
        <v>1</v>
      </c>
      <c r="J133" s="12">
        <f t="shared" si="15"/>
        <v>1400</v>
      </c>
      <c r="K133" s="12">
        <f t="shared" si="16"/>
        <v>77</v>
      </c>
      <c r="L133" s="12">
        <f t="shared" si="17"/>
        <v>182</v>
      </c>
      <c r="M133" s="12">
        <f t="shared" si="18"/>
        <v>1582</v>
      </c>
      <c r="N133" s="12">
        <f t="shared" si="19"/>
        <v>1323</v>
      </c>
      <c r="O133" s="12">
        <v>122.28</v>
      </c>
      <c r="P133" s="12">
        <f t="shared" si="14"/>
        <v>199.28</v>
      </c>
      <c r="Q133" s="12">
        <f t="shared" si="20"/>
        <v>1200.72</v>
      </c>
    </row>
    <row r="134" spans="1:83" s="9" customFormat="1" ht="20.100000000000001" customHeight="1" x14ac:dyDescent="0.3">
      <c r="A134" s="9">
        <v>132</v>
      </c>
      <c r="B134" s="9" t="s">
        <v>308</v>
      </c>
      <c r="C134" s="9" t="s">
        <v>309</v>
      </c>
      <c r="D134" s="9" t="s">
        <v>310</v>
      </c>
      <c r="E134" s="10">
        <v>46143</v>
      </c>
      <c r="F134" s="10">
        <v>46325</v>
      </c>
      <c r="G134" s="11">
        <v>1400</v>
      </c>
      <c r="H134" s="12">
        <v>1400</v>
      </c>
      <c r="I134" s="13">
        <v>1</v>
      </c>
      <c r="J134" s="12">
        <f t="shared" si="15"/>
        <v>1400</v>
      </c>
      <c r="K134" s="12">
        <f t="shared" si="16"/>
        <v>77</v>
      </c>
      <c r="L134" s="12">
        <f t="shared" si="17"/>
        <v>182</v>
      </c>
      <c r="M134" s="12">
        <f t="shared" si="18"/>
        <v>1582</v>
      </c>
      <c r="N134" s="12">
        <f t="shared" si="19"/>
        <v>1323</v>
      </c>
      <c r="O134" s="12">
        <v>122.28</v>
      </c>
      <c r="P134" s="12">
        <f t="shared" si="14"/>
        <v>199.28</v>
      </c>
      <c r="Q134" s="12">
        <f t="shared" si="20"/>
        <v>1200.72</v>
      </c>
    </row>
    <row r="135" spans="1:83" s="9" customFormat="1" ht="20.100000000000001" customHeight="1" x14ac:dyDescent="0.3">
      <c r="A135" s="9">
        <v>133</v>
      </c>
      <c r="B135" s="9" t="s">
        <v>311</v>
      </c>
      <c r="C135" s="9" t="s">
        <v>312</v>
      </c>
      <c r="D135" s="9" t="s">
        <v>313</v>
      </c>
      <c r="E135" s="10">
        <v>46143</v>
      </c>
      <c r="F135" s="10">
        <v>46325</v>
      </c>
      <c r="G135" s="11">
        <v>1400</v>
      </c>
      <c r="H135" s="12">
        <v>1400</v>
      </c>
      <c r="I135" s="13">
        <v>1</v>
      </c>
      <c r="J135" s="12">
        <f t="shared" si="15"/>
        <v>1400</v>
      </c>
      <c r="K135" s="12">
        <f t="shared" si="16"/>
        <v>77</v>
      </c>
      <c r="L135" s="12">
        <f t="shared" si="17"/>
        <v>182</v>
      </c>
      <c r="M135" s="12">
        <f t="shared" si="18"/>
        <v>1582</v>
      </c>
      <c r="N135" s="12">
        <f t="shared" si="19"/>
        <v>1323</v>
      </c>
      <c r="O135" s="12">
        <v>122.28</v>
      </c>
      <c r="P135" s="12">
        <f t="shared" si="14"/>
        <v>199.28</v>
      </c>
      <c r="Q135" s="12">
        <f t="shared" si="20"/>
        <v>1200.72</v>
      </c>
    </row>
    <row r="136" spans="1:83" s="16" customFormat="1" ht="20.100000000000001" customHeight="1" x14ac:dyDescent="0.3">
      <c r="A136" s="9">
        <v>134</v>
      </c>
      <c r="B136" s="9" t="s">
        <v>314</v>
      </c>
      <c r="C136" s="9" t="s">
        <v>315</v>
      </c>
      <c r="D136" s="9" t="s">
        <v>87</v>
      </c>
      <c r="E136" s="10">
        <v>46143</v>
      </c>
      <c r="F136" s="10">
        <v>46325</v>
      </c>
      <c r="G136" s="11">
        <v>1400</v>
      </c>
      <c r="H136" s="12">
        <v>1400</v>
      </c>
      <c r="I136" s="13">
        <v>1</v>
      </c>
      <c r="J136" s="12">
        <f t="shared" si="15"/>
        <v>1400</v>
      </c>
      <c r="K136" s="12">
        <f t="shared" si="16"/>
        <v>77</v>
      </c>
      <c r="L136" s="12">
        <f t="shared" si="17"/>
        <v>182</v>
      </c>
      <c r="M136" s="12">
        <f t="shared" si="18"/>
        <v>1582</v>
      </c>
      <c r="N136" s="12">
        <f t="shared" si="19"/>
        <v>1323</v>
      </c>
      <c r="O136" s="12">
        <v>122.28</v>
      </c>
      <c r="P136" s="12">
        <f t="shared" si="14"/>
        <v>199.28</v>
      </c>
      <c r="Q136" s="12">
        <f t="shared" si="20"/>
        <v>1200.72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</row>
    <row r="137" spans="1:83" s="9" customFormat="1" ht="20.100000000000001" customHeight="1" x14ac:dyDescent="0.3">
      <c r="A137" s="9">
        <v>135</v>
      </c>
      <c r="B137" s="9" t="s">
        <v>316</v>
      </c>
      <c r="C137" s="9" t="s">
        <v>317</v>
      </c>
      <c r="D137" s="9" t="s">
        <v>42</v>
      </c>
      <c r="E137" s="15">
        <v>46113</v>
      </c>
      <c r="F137" s="15">
        <v>46295</v>
      </c>
      <c r="G137" s="11">
        <v>1400</v>
      </c>
      <c r="H137" s="12">
        <v>1400</v>
      </c>
      <c r="I137" s="13">
        <v>1</v>
      </c>
      <c r="J137" s="12">
        <f t="shared" si="15"/>
        <v>1400</v>
      </c>
      <c r="K137" s="12">
        <f t="shared" si="16"/>
        <v>77</v>
      </c>
      <c r="L137" s="12">
        <f t="shared" si="17"/>
        <v>182</v>
      </c>
      <c r="M137" s="12">
        <f t="shared" si="18"/>
        <v>1582</v>
      </c>
      <c r="N137" s="12">
        <f t="shared" si="19"/>
        <v>1323</v>
      </c>
      <c r="O137" s="12">
        <v>122.28</v>
      </c>
      <c r="P137" s="12">
        <f t="shared" si="14"/>
        <v>199.28</v>
      </c>
      <c r="Q137" s="12">
        <f t="shared" si="20"/>
        <v>1200.72</v>
      </c>
    </row>
    <row r="138" spans="1:83" s="16" customFormat="1" ht="20.100000000000001" customHeight="1" x14ac:dyDescent="0.3">
      <c r="A138" s="9">
        <v>136</v>
      </c>
      <c r="B138" s="9" t="s">
        <v>318</v>
      </c>
      <c r="C138" s="9" t="s">
        <v>319</v>
      </c>
      <c r="D138" s="9" t="s">
        <v>320</v>
      </c>
      <c r="E138" s="15">
        <v>46113</v>
      </c>
      <c r="F138" s="15">
        <v>46295</v>
      </c>
      <c r="G138" s="11">
        <v>1400</v>
      </c>
      <c r="H138" s="12">
        <v>1400</v>
      </c>
      <c r="I138" s="13">
        <v>1</v>
      </c>
      <c r="J138" s="12">
        <f t="shared" si="15"/>
        <v>1400</v>
      </c>
      <c r="K138" s="12">
        <f t="shared" si="16"/>
        <v>77</v>
      </c>
      <c r="L138" s="12">
        <f t="shared" si="17"/>
        <v>182</v>
      </c>
      <c r="M138" s="12">
        <f t="shared" si="18"/>
        <v>1582</v>
      </c>
      <c r="N138" s="12">
        <f t="shared" si="19"/>
        <v>1323</v>
      </c>
      <c r="O138" s="12">
        <v>122.28</v>
      </c>
      <c r="P138" s="12">
        <f t="shared" si="14"/>
        <v>199.28</v>
      </c>
      <c r="Q138" s="12">
        <f t="shared" si="20"/>
        <v>1200.72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</row>
    <row r="139" spans="1:83" s="9" customFormat="1" ht="20.100000000000001" customHeight="1" x14ac:dyDescent="0.3">
      <c r="A139" s="9">
        <v>137</v>
      </c>
      <c r="B139" s="9" t="s">
        <v>321</v>
      </c>
      <c r="C139" s="9" t="s">
        <v>322</v>
      </c>
      <c r="D139" s="9" t="s">
        <v>320</v>
      </c>
      <c r="E139" s="15">
        <v>46113</v>
      </c>
      <c r="F139" s="15">
        <v>46295</v>
      </c>
      <c r="G139" s="11">
        <v>1400</v>
      </c>
      <c r="H139" s="12">
        <v>1400</v>
      </c>
      <c r="I139" s="13">
        <v>1</v>
      </c>
      <c r="J139" s="12">
        <f t="shared" si="15"/>
        <v>1400</v>
      </c>
      <c r="K139" s="12">
        <f t="shared" si="16"/>
        <v>77</v>
      </c>
      <c r="L139" s="12">
        <f t="shared" si="17"/>
        <v>182</v>
      </c>
      <c r="M139" s="12">
        <f t="shared" si="18"/>
        <v>1582</v>
      </c>
      <c r="N139" s="12">
        <f t="shared" si="19"/>
        <v>1323</v>
      </c>
      <c r="O139" s="12">
        <v>122.28</v>
      </c>
      <c r="P139" s="12">
        <f t="shared" si="14"/>
        <v>199.28</v>
      </c>
      <c r="Q139" s="12">
        <f t="shared" si="20"/>
        <v>1200.72</v>
      </c>
    </row>
    <row r="140" spans="1:83" s="9" customFormat="1" ht="20.100000000000001" customHeight="1" x14ac:dyDescent="0.3">
      <c r="A140" s="9">
        <v>138</v>
      </c>
      <c r="B140" s="9" t="s">
        <v>323</v>
      </c>
      <c r="C140" s="9" t="s">
        <v>324</v>
      </c>
      <c r="D140" s="9" t="s">
        <v>320</v>
      </c>
      <c r="E140" s="15">
        <v>46113</v>
      </c>
      <c r="F140" s="15">
        <v>46295</v>
      </c>
      <c r="G140" s="11">
        <v>1400</v>
      </c>
      <c r="H140" s="12">
        <v>1400</v>
      </c>
      <c r="I140" s="13">
        <v>1</v>
      </c>
      <c r="J140" s="12">
        <f t="shared" si="15"/>
        <v>1400</v>
      </c>
      <c r="K140" s="12">
        <f t="shared" si="16"/>
        <v>77</v>
      </c>
      <c r="L140" s="12">
        <f t="shared" si="17"/>
        <v>182</v>
      </c>
      <c r="M140" s="12">
        <f t="shared" si="18"/>
        <v>1582</v>
      </c>
      <c r="N140" s="12">
        <f t="shared" si="19"/>
        <v>1323</v>
      </c>
      <c r="O140" s="12">
        <v>122.28</v>
      </c>
      <c r="P140" s="12">
        <f t="shared" si="14"/>
        <v>199.28</v>
      </c>
      <c r="Q140" s="12">
        <f t="shared" si="20"/>
        <v>1200.72</v>
      </c>
    </row>
    <row r="141" spans="1:83" s="9" customFormat="1" ht="20.100000000000001" customHeight="1" x14ac:dyDescent="0.3">
      <c r="A141" s="9">
        <v>139</v>
      </c>
      <c r="B141" s="9" t="s">
        <v>325</v>
      </c>
      <c r="C141" s="9" t="s">
        <v>326</v>
      </c>
      <c r="D141" s="9" t="s">
        <v>320</v>
      </c>
      <c r="E141" s="15">
        <v>46113</v>
      </c>
      <c r="F141" s="15">
        <v>46295</v>
      </c>
      <c r="G141" s="11">
        <v>1400</v>
      </c>
      <c r="H141" s="12">
        <v>1400</v>
      </c>
      <c r="I141" s="13">
        <v>1</v>
      </c>
      <c r="J141" s="12">
        <f t="shared" si="15"/>
        <v>1400</v>
      </c>
      <c r="K141" s="12">
        <f t="shared" si="16"/>
        <v>77</v>
      </c>
      <c r="L141" s="12">
        <f t="shared" si="17"/>
        <v>182</v>
      </c>
      <c r="M141" s="12">
        <f t="shared" si="18"/>
        <v>1582</v>
      </c>
      <c r="N141" s="12">
        <f t="shared" si="19"/>
        <v>1323</v>
      </c>
      <c r="O141" s="12">
        <v>122.28</v>
      </c>
      <c r="P141" s="12">
        <f t="shared" si="14"/>
        <v>199.28</v>
      </c>
      <c r="Q141" s="12">
        <f t="shared" si="20"/>
        <v>1200.72</v>
      </c>
    </row>
    <row r="142" spans="1:83" s="9" customFormat="1" ht="20.100000000000001" customHeight="1" x14ac:dyDescent="0.3">
      <c r="A142" s="9">
        <v>140</v>
      </c>
      <c r="B142" s="9" t="s">
        <v>327</v>
      </c>
      <c r="C142" s="9" t="s">
        <v>328</v>
      </c>
      <c r="D142" s="9" t="s">
        <v>320</v>
      </c>
      <c r="E142" s="15">
        <v>46113</v>
      </c>
      <c r="F142" s="15">
        <v>46295</v>
      </c>
      <c r="G142" s="11">
        <v>1400</v>
      </c>
      <c r="H142" s="12">
        <v>1400</v>
      </c>
      <c r="I142" s="13">
        <v>1</v>
      </c>
      <c r="J142" s="12">
        <f t="shared" si="15"/>
        <v>1400</v>
      </c>
      <c r="K142" s="12">
        <f t="shared" si="16"/>
        <v>77</v>
      </c>
      <c r="L142" s="12">
        <f t="shared" si="17"/>
        <v>182</v>
      </c>
      <c r="M142" s="12">
        <f t="shared" si="18"/>
        <v>1582</v>
      </c>
      <c r="N142" s="12">
        <f t="shared" si="19"/>
        <v>1323</v>
      </c>
      <c r="O142" s="12">
        <v>122.28</v>
      </c>
      <c r="P142" s="12">
        <f t="shared" si="14"/>
        <v>199.28</v>
      </c>
      <c r="Q142" s="12">
        <f t="shared" si="20"/>
        <v>1200.72</v>
      </c>
    </row>
    <row r="143" spans="1:83" s="9" customFormat="1" ht="20.100000000000001" customHeight="1" x14ac:dyDescent="0.3">
      <c r="A143" s="9">
        <v>141</v>
      </c>
      <c r="B143" s="9" t="s">
        <v>329</v>
      </c>
      <c r="C143" s="9" t="s">
        <v>330</v>
      </c>
      <c r="D143" s="9" t="s">
        <v>320</v>
      </c>
      <c r="E143" s="15">
        <v>46113</v>
      </c>
      <c r="F143" s="15">
        <v>46295</v>
      </c>
      <c r="G143" s="11">
        <v>1400</v>
      </c>
      <c r="H143" s="12">
        <v>1400</v>
      </c>
      <c r="I143" s="13">
        <v>1</v>
      </c>
      <c r="J143" s="12">
        <f t="shared" si="15"/>
        <v>1400</v>
      </c>
      <c r="K143" s="12">
        <f t="shared" si="16"/>
        <v>77</v>
      </c>
      <c r="L143" s="12">
        <f t="shared" si="17"/>
        <v>182</v>
      </c>
      <c r="M143" s="12">
        <f t="shared" si="18"/>
        <v>1582</v>
      </c>
      <c r="N143" s="12">
        <f t="shared" si="19"/>
        <v>1323</v>
      </c>
      <c r="O143" s="12">
        <v>122.28</v>
      </c>
      <c r="P143" s="12">
        <f t="shared" si="14"/>
        <v>199.28</v>
      </c>
      <c r="Q143" s="12">
        <f t="shared" si="20"/>
        <v>1200.72</v>
      </c>
    </row>
    <row r="144" spans="1:83" s="9" customFormat="1" ht="20.100000000000001" customHeight="1" x14ac:dyDescent="0.3">
      <c r="A144" s="9">
        <v>142</v>
      </c>
      <c r="B144" s="9" t="s">
        <v>331</v>
      </c>
      <c r="C144" s="9" t="s">
        <v>332</v>
      </c>
      <c r="D144" s="9" t="s">
        <v>320</v>
      </c>
      <c r="E144" s="15">
        <v>46113</v>
      </c>
      <c r="F144" s="15">
        <v>46295</v>
      </c>
      <c r="G144" s="11">
        <v>1400</v>
      </c>
      <c r="H144" s="12">
        <v>1400</v>
      </c>
      <c r="I144" s="13">
        <v>1</v>
      </c>
      <c r="J144" s="12">
        <f t="shared" si="15"/>
        <v>1400</v>
      </c>
      <c r="K144" s="12">
        <f t="shared" si="16"/>
        <v>77</v>
      </c>
      <c r="L144" s="12">
        <f t="shared" si="17"/>
        <v>182</v>
      </c>
      <c r="M144" s="12">
        <f t="shared" si="18"/>
        <v>1582</v>
      </c>
      <c r="N144" s="12">
        <f t="shared" si="19"/>
        <v>1323</v>
      </c>
      <c r="O144" s="12">
        <v>122.28</v>
      </c>
      <c r="P144" s="12">
        <f t="shared" si="14"/>
        <v>199.28</v>
      </c>
      <c r="Q144" s="12">
        <f t="shared" si="20"/>
        <v>1200.72</v>
      </c>
    </row>
    <row r="145" spans="1:17" s="9" customFormat="1" ht="20.100000000000001" customHeight="1" x14ac:dyDescent="0.3">
      <c r="A145" s="9">
        <v>143</v>
      </c>
      <c r="B145" s="9" t="s">
        <v>333</v>
      </c>
      <c r="C145" s="9" t="s">
        <v>334</v>
      </c>
      <c r="D145" s="9" t="s">
        <v>320</v>
      </c>
      <c r="E145" s="15">
        <v>46113</v>
      </c>
      <c r="F145" s="15">
        <v>46295</v>
      </c>
      <c r="G145" s="11">
        <v>1400</v>
      </c>
      <c r="H145" s="12">
        <v>1400</v>
      </c>
      <c r="I145" s="13">
        <v>1</v>
      </c>
      <c r="J145" s="12">
        <f t="shared" si="15"/>
        <v>1400</v>
      </c>
      <c r="K145" s="12">
        <f t="shared" si="16"/>
        <v>77</v>
      </c>
      <c r="L145" s="12">
        <f t="shared" si="17"/>
        <v>182</v>
      </c>
      <c r="M145" s="12">
        <f t="shared" si="18"/>
        <v>1582</v>
      </c>
      <c r="N145" s="12">
        <f t="shared" si="19"/>
        <v>1323</v>
      </c>
      <c r="O145" s="12">
        <v>122.28</v>
      </c>
      <c r="P145" s="12">
        <f t="shared" si="14"/>
        <v>199.28</v>
      </c>
      <c r="Q145" s="12">
        <f t="shared" si="20"/>
        <v>1200.72</v>
      </c>
    </row>
    <row r="146" spans="1:17" s="9" customFormat="1" ht="20.100000000000001" customHeight="1" x14ac:dyDescent="0.3">
      <c r="A146" s="9">
        <v>144</v>
      </c>
      <c r="B146" s="9" t="s">
        <v>335</v>
      </c>
      <c r="C146" s="9" t="s">
        <v>336</v>
      </c>
      <c r="D146" s="9" t="s">
        <v>320</v>
      </c>
      <c r="E146" s="15">
        <v>46113</v>
      </c>
      <c r="F146" s="15">
        <v>46295</v>
      </c>
      <c r="G146" s="11">
        <v>1400</v>
      </c>
      <c r="H146" s="12">
        <v>1400</v>
      </c>
      <c r="I146" s="13">
        <v>1</v>
      </c>
      <c r="J146" s="12">
        <f t="shared" si="15"/>
        <v>1400</v>
      </c>
      <c r="K146" s="12">
        <f t="shared" si="16"/>
        <v>77</v>
      </c>
      <c r="L146" s="12">
        <f t="shared" si="17"/>
        <v>182</v>
      </c>
      <c r="M146" s="12">
        <f t="shared" si="18"/>
        <v>1582</v>
      </c>
      <c r="N146" s="12">
        <f t="shared" si="19"/>
        <v>1323</v>
      </c>
      <c r="O146" s="12">
        <v>122.28</v>
      </c>
      <c r="P146" s="12">
        <f t="shared" si="14"/>
        <v>199.28</v>
      </c>
      <c r="Q146" s="12">
        <f t="shared" si="20"/>
        <v>1200.72</v>
      </c>
    </row>
    <row r="147" spans="1:17" s="9" customFormat="1" ht="20.100000000000001" customHeight="1" x14ac:dyDescent="0.3">
      <c r="A147" s="9">
        <v>145</v>
      </c>
      <c r="B147" s="9" t="s">
        <v>337</v>
      </c>
      <c r="C147" s="9" t="s">
        <v>338</v>
      </c>
      <c r="D147" s="9" t="s">
        <v>320</v>
      </c>
      <c r="E147" s="15">
        <v>46113</v>
      </c>
      <c r="F147" s="15">
        <v>46295</v>
      </c>
      <c r="G147" s="11">
        <v>1400</v>
      </c>
      <c r="H147" s="12">
        <v>1400</v>
      </c>
      <c r="I147" s="13">
        <v>1</v>
      </c>
      <c r="J147" s="12">
        <f t="shared" si="15"/>
        <v>1400</v>
      </c>
      <c r="K147" s="12">
        <f t="shared" si="16"/>
        <v>77</v>
      </c>
      <c r="L147" s="12">
        <f t="shared" si="17"/>
        <v>182</v>
      </c>
      <c r="M147" s="12">
        <f t="shared" si="18"/>
        <v>1582</v>
      </c>
      <c r="N147" s="12">
        <f t="shared" si="19"/>
        <v>1323</v>
      </c>
      <c r="O147" s="12">
        <v>122.28</v>
      </c>
      <c r="P147" s="12">
        <f t="shared" si="14"/>
        <v>199.28</v>
      </c>
      <c r="Q147" s="12">
        <f t="shared" si="20"/>
        <v>1200.72</v>
      </c>
    </row>
    <row r="148" spans="1:17" s="9" customFormat="1" ht="20.100000000000001" customHeight="1" x14ac:dyDescent="0.3">
      <c r="A148" s="9">
        <v>146</v>
      </c>
      <c r="B148" s="9" t="s">
        <v>339</v>
      </c>
      <c r="C148" s="9" t="s">
        <v>340</v>
      </c>
      <c r="D148" s="9" t="s">
        <v>320</v>
      </c>
      <c r="E148" s="15">
        <v>46113</v>
      </c>
      <c r="F148" s="15">
        <v>46295</v>
      </c>
      <c r="G148" s="11">
        <v>1400</v>
      </c>
      <c r="H148" s="12">
        <v>1400</v>
      </c>
      <c r="I148" s="13">
        <v>1</v>
      </c>
      <c r="J148" s="12">
        <f t="shared" si="15"/>
        <v>1400</v>
      </c>
      <c r="K148" s="12">
        <f t="shared" si="16"/>
        <v>77</v>
      </c>
      <c r="L148" s="12">
        <f t="shared" si="17"/>
        <v>182</v>
      </c>
      <c r="M148" s="12">
        <f t="shared" si="18"/>
        <v>1582</v>
      </c>
      <c r="N148" s="12">
        <f t="shared" si="19"/>
        <v>1323</v>
      </c>
      <c r="O148" s="12">
        <v>122.28</v>
      </c>
      <c r="P148" s="12">
        <f t="shared" si="14"/>
        <v>199.28</v>
      </c>
      <c r="Q148" s="12">
        <f t="shared" si="20"/>
        <v>1200.72</v>
      </c>
    </row>
    <row r="149" spans="1:17" s="9" customFormat="1" ht="20.100000000000001" customHeight="1" x14ac:dyDescent="0.3">
      <c r="A149" s="9">
        <v>147</v>
      </c>
      <c r="B149" s="9" t="s">
        <v>341</v>
      </c>
      <c r="C149" s="9" t="s">
        <v>342</v>
      </c>
      <c r="D149" s="9" t="s">
        <v>320</v>
      </c>
      <c r="E149" s="15">
        <v>46113</v>
      </c>
      <c r="F149" s="15">
        <v>46295</v>
      </c>
      <c r="G149" s="11">
        <v>1400</v>
      </c>
      <c r="H149" s="12">
        <v>1400</v>
      </c>
      <c r="I149" s="13">
        <v>1</v>
      </c>
      <c r="J149" s="12">
        <f t="shared" si="15"/>
        <v>1400</v>
      </c>
      <c r="K149" s="12">
        <f t="shared" si="16"/>
        <v>77</v>
      </c>
      <c r="L149" s="12">
        <f t="shared" si="17"/>
        <v>182</v>
      </c>
      <c r="M149" s="12">
        <f t="shared" si="18"/>
        <v>1582</v>
      </c>
      <c r="N149" s="12">
        <f t="shared" si="19"/>
        <v>1323</v>
      </c>
      <c r="O149" s="12">
        <v>122.28</v>
      </c>
      <c r="P149" s="12">
        <f t="shared" si="14"/>
        <v>199.28</v>
      </c>
      <c r="Q149" s="12">
        <f t="shared" si="20"/>
        <v>1200.72</v>
      </c>
    </row>
    <row r="150" spans="1:17" s="9" customFormat="1" ht="20.100000000000001" customHeight="1" x14ac:dyDescent="0.3">
      <c r="A150" s="9">
        <v>148</v>
      </c>
      <c r="B150" s="9" t="s">
        <v>343</v>
      </c>
      <c r="C150" s="9" t="s">
        <v>344</v>
      </c>
      <c r="D150" s="9" t="s">
        <v>320</v>
      </c>
      <c r="E150" s="15">
        <v>46113</v>
      </c>
      <c r="F150" s="15">
        <v>46295</v>
      </c>
      <c r="G150" s="11">
        <v>1400</v>
      </c>
      <c r="H150" s="12">
        <v>1400</v>
      </c>
      <c r="I150" s="13">
        <v>1</v>
      </c>
      <c r="J150" s="12">
        <f t="shared" si="15"/>
        <v>1400</v>
      </c>
      <c r="K150" s="12">
        <f t="shared" si="16"/>
        <v>77</v>
      </c>
      <c r="L150" s="12">
        <f t="shared" si="17"/>
        <v>182</v>
      </c>
      <c r="M150" s="12">
        <f t="shared" si="18"/>
        <v>1582</v>
      </c>
      <c r="N150" s="12">
        <f t="shared" si="19"/>
        <v>1323</v>
      </c>
      <c r="O150" s="12">
        <v>122.28</v>
      </c>
      <c r="P150" s="12">
        <f t="shared" si="14"/>
        <v>199.28</v>
      </c>
      <c r="Q150" s="12">
        <f t="shared" si="20"/>
        <v>1200.72</v>
      </c>
    </row>
    <row r="151" spans="1:17" s="9" customFormat="1" ht="20.100000000000001" customHeight="1" x14ac:dyDescent="0.3">
      <c r="A151" s="9">
        <v>149</v>
      </c>
      <c r="B151" s="9" t="s">
        <v>345</v>
      </c>
      <c r="C151" s="9" t="s">
        <v>346</v>
      </c>
      <c r="D151" s="9" t="s">
        <v>320</v>
      </c>
      <c r="E151" s="15">
        <v>46113</v>
      </c>
      <c r="F151" s="15">
        <v>46295</v>
      </c>
      <c r="G151" s="11">
        <v>1400</v>
      </c>
      <c r="H151" s="12">
        <v>1400</v>
      </c>
      <c r="I151" s="13">
        <v>1</v>
      </c>
      <c r="J151" s="12">
        <f t="shared" si="15"/>
        <v>1400</v>
      </c>
      <c r="K151" s="12">
        <f t="shared" si="16"/>
        <v>77</v>
      </c>
      <c r="L151" s="12">
        <f t="shared" si="17"/>
        <v>182</v>
      </c>
      <c r="M151" s="12">
        <f t="shared" si="18"/>
        <v>1582</v>
      </c>
      <c r="N151" s="12">
        <f t="shared" si="19"/>
        <v>1323</v>
      </c>
      <c r="O151" s="12">
        <v>122.28</v>
      </c>
      <c r="P151" s="12">
        <f t="shared" si="14"/>
        <v>199.28</v>
      </c>
      <c r="Q151" s="12">
        <f t="shared" si="20"/>
        <v>1200.72</v>
      </c>
    </row>
    <row r="152" spans="1:17" s="9" customFormat="1" ht="20.100000000000001" customHeight="1" x14ac:dyDescent="0.3">
      <c r="A152" s="9">
        <v>150</v>
      </c>
      <c r="B152" s="9" t="s">
        <v>347</v>
      </c>
      <c r="C152" s="9" t="s">
        <v>348</v>
      </c>
      <c r="D152" s="9" t="s">
        <v>320</v>
      </c>
      <c r="E152" s="15">
        <v>46113</v>
      </c>
      <c r="F152" s="15">
        <v>46295</v>
      </c>
      <c r="G152" s="11">
        <v>1400</v>
      </c>
      <c r="H152" s="12">
        <v>1400</v>
      </c>
      <c r="I152" s="13">
        <v>1</v>
      </c>
      <c r="J152" s="12">
        <f t="shared" si="15"/>
        <v>1400</v>
      </c>
      <c r="K152" s="12">
        <f t="shared" si="16"/>
        <v>77</v>
      </c>
      <c r="L152" s="12">
        <f t="shared" si="17"/>
        <v>182</v>
      </c>
      <c r="M152" s="12">
        <f t="shared" si="18"/>
        <v>1582</v>
      </c>
      <c r="N152" s="12">
        <f t="shared" si="19"/>
        <v>1323</v>
      </c>
      <c r="O152" s="12">
        <v>122.28</v>
      </c>
      <c r="P152" s="12">
        <f t="shared" ref="P152:P215" si="21">K152+O152</f>
        <v>199.28</v>
      </c>
      <c r="Q152" s="12">
        <f t="shared" si="20"/>
        <v>1200.72</v>
      </c>
    </row>
    <row r="153" spans="1:17" s="9" customFormat="1" ht="20.100000000000001" customHeight="1" x14ac:dyDescent="0.3">
      <c r="A153" s="9">
        <v>151</v>
      </c>
      <c r="B153" s="9" t="s">
        <v>349</v>
      </c>
      <c r="C153" s="9" t="s">
        <v>350</v>
      </c>
      <c r="D153" s="9" t="s">
        <v>320</v>
      </c>
      <c r="E153" s="15">
        <v>46113</v>
      </c>
      <c r="F153" s="15">
        <v>46295</v>
      </c>
      <c r="G153" s="11">
        <v>1400</v>
      </c>
      <c r="H153" s="12">
        <v>1400</v>
      </c>
      <c r="I153" s="13">
        <v>1</v>
      </c>
      <c r="J153" s="12">
        <f t="shared" si="15"/>
        <v>1400</v>
      </c>
      <c r="K153" s="12">
        <f t="shared" si="16"/>
        <v>77</v>
      </c>
      <c r="L153" s="12">
        <f t="shared" si="17"/>
        <v>182</v>
      </c>
      <c r="M153" s="12">
        <f t="shared" si="18"/>
        <v>1582</v>
      </c>
      <c r="N153" s="12">
        <f t="shared" si="19"/>
        <v>1323</v>
      </c>
      <c r="O153" s="12">
        <v>122.28</v>
      </c>
      <c r="P153" s="12">
        <f t="shared" si="21"/>
        <v>199.28</v>
      </c>
      <c r="Q153" s="12">
        <f t="shared" si="20"/>
        <v>1200.72</v>
      </c>
    </row>
    <row r="154" spans="1:17" s="9" customFormat="1" ht="20.100000000000001" customHeight="1" x14ac:dyDescent="0.3">
      <c r="A154" s="9">
        <v>152</v>
      </c>
      <c r="B154" s="9" t="s">
        <v>351</v>
      </c>
      <c r="C154" s="9" t="s">
        <v>352</v>
      </c>
      <c r="D154" s="9" t="s">
        <v>353</v>
      </c>
      <c r="E154" s="15">
        <v>46143</v>
      </c>
      <c r="F154" s="15">
        <v>46325</v>
      </c>
      <c r="G154" s="11">
        <v>1400</v>
      </c>
      <c r="H154" s="12">
        <v>1400</v>
      </c>
      <c r="I154" s="13">
        <v>1</v>
      </c>
      <c r="J154" s="12">
        <f t="shared" si="15"/>
        <v>1400</v>
      </c>
      <c r="K154" s="12">
        <f t="shared" si="16"/>
        <v>77</v>
      </c>
      <c r="L154" s="12">
        <f t="shared" si="17"/>
        <v>182</v>
      </c>
      <c r="M154" s="12">
        <f t="shared" si="18"/>
        <v>1582</v>
      </c>
      <c r="N154" s="12">
        <f t="shared" si="19"/>
        <v>1323</v>
      </c>
      <c r="O154" s="12">
        <v>122.28</v>
      </c>
      <c r="P154" s="12">
        <f t="shared" si="21"/>
        <v>199.28</v>
      </c>
      <c r="Q154" s="12">
        <f t="shared" si="20"/>
        <v>1200.72</v>
      </c>
    </row>
    <row r="155" spans="1:17" s="9" customFormat="1" ht="20.100000000000001" customHeight="1" x14ac:dyDescent="0.3">
      <c r="A155" s="9">
        <v>153</v>
      </c>
      <c r="B155" s="9" t="s">
        <v>354</v>
      </c>
      <c r="C155" s="9" t="s">
        <v>355</v>
      </c>
      <c r="D155" s="9" t="s">
        <v>353</v>
      </c>
      <c r="E155" s="15">
        <v>46143</v>
      </c>
      <c r="F155" s="15">
        <v>46325</v>
      </c>
      <c r="G155" s="11">
        <v>1400</v>
      </c>
      <c r="H155" s="12">
        <v>1400</v>
      </c>
      <c r="I155" s="13">
        <v>1</v>
      </c>
      <c r="J155" s="12">
        <f t="shared" si="15"/>
        <v>1400</v>
      </c>
      <c r="K155" s="12">
        <f t="shared" si="16"/>
        <v>77</v>
      </c>
      <c r="L155" s="12">
        <f t="shared" si="17"/>
        <v>182</v>
      </c>
      <c r="M155" s="12">
        <f t="shared" si="18"/>
        <v>1582</v>
      </c>
      <c r="N155" s="12">
        <f t="shared" si="19"/>
        <v>1323</v>
      </c>
      <c r="O155" s="12">
        <v>122.28</v>
      </c>
      <c r="P155" s="12">
        <f t="shared" si="21"/>
        <v>199.28</v>
      </c>
      <c r="Q155" s="12">
        <f t="shared" si="20"/>
        <v>1200.72</v>
      </c>
    </row>
    <row r="156" spans="1:17" s="9" customFormat="1" ht="20.100000000000001" customHeight="1" x14ac:dyDescent="0.3">
      <c r="A156" s="9">
        <v>154</v>
      </c>
      <c r="B156" s="9" t="s">
        <v>356</v>
      </c>
      <c r="C156" s="9" t="s">
        <v>357</v>
      </c>
      <c r="D156" s="9" t="s">
        <v>353</v>
      </c>
      <c r="E156" s="15">
        <v>46143</v>
      </c>
      <c r="F156" s="15">
        <v>46325</v>
      </c>
      <c r="G156" s="11">
        <v>1400</v>
      </c>
      <c r="H156" s="12">
        <v>1400</v>
      </c>
      <c r="I156" s="13">
        <v>1</v>
      </c>
      <c r="J156" s="12">
        <f t="shared" si="15"/>
        <v>1400</v>
      </c>
      <c r="K156" s="12">
        <f t="shared" si="16"/>
        <v>77</v>
      </c>
      <c r="L156" s="12">
        <f t="shared" si="17"/>
        <v>182</v>
      </c>
      <c r="M156" s="12">
        <f t="shared" si="18"/>
        <v>1582</v>
      </c>
      <c r="N156" s="12">
        <f t="shared" si="19"/>
        <v>1323</v>
      </c>
      <c r="O156" s="12">
        <v>122.28</v>
      </c>
      <c r="P156" s="12">
        <f t="shared" si="21"/>
        <v>199.28</v>
      </c>
      <c r="Q156" s="12">
        <f t="shared" si="20"/>
        <v>1200.72</v>
      </c>
    </row>
    <row r="157" spans="1:17" s="9" customFormat="1" ht="20.100000000000001" customHeight="1" x14ac:dyDescent="0.3">
      <c r="A157" s="9">
        <v>155</v>
      </c>
      <c r="B157" s="9" t="s">
        <v>358</v>
      </c>
      <c r="C157" s="9" t="s">
        <v>359</v>
      </c>
      <c r="D157" s="9" t="s">
        <v>353</v>
      </c>
      <c r="E157" s="15">
        <v>46143</v>
      </c>
      <c r="F157" s="15">
        <v>46325</v>
      </c>
      <c r="G157" s="11">
        <v>1400</v>
      </c>
      <c r="H157" s="12">
        <v>1400</v>
      </c>
      <c r="I157" s="13">
        <v>1</v>
      </c>
      <c r="J157" s="12">
        <f t="shared" si="15"/>
        <v>1400</v>
      </c>
      <c r="K157" s="12">
        <f t="shared" si="16"/>
        <v>77</v>
      </c>
      <c r="L157" s="12">
        <f t="shared" si="17"/>
        <v>182</v>
      </c>
      <c r="M157" s="12">
        <f t="shared" si="18"/>
        <v>1582</v>
      </c>
      <c r="N157" s="12">
        <f t="shared" si="19"/>
        <v>1323</v>
      </c>
      <c r="O157" s="12">
        <v>122.28</v>
      </c>
      <c r="P157" s="12">
        <f t="shared" si="21"/>
        <v>199.28</v>
      </c>
      <c r="Q157" s="12">
        <f t="shared" si="20"/>
        <v>1200.72</v>
      </c>
    </row>
    <row r="158" spans="1:17" s="9" customFormat="1" ht="20.100000000000001" customHeight="1" x14ac:dyDescent="0.3">
      <c r="A158" s="9">
        <v>156</v>
      </c>
      <c r="B158" s="9" t="s">
        <v>360</v>
      </c>
      <c r="C158" s="9" t="s">
        <v>361</v>
      </c>
      <c r="D158" s="9" t="s">
        <v>353</v>
      </c>
      <c r="E158" s="15">
        <v>46113</v>
      </c>
      <c r="F158" s="15">
        <v>46295</v>
      </c>
      <c r="G158" s="11">
        <v>1400</v>
      </c>
      <c r="H158" s="12">
        <v>1400</v>
      </c>
      <c r="I158" s="13">
        <v>1</v>
      </c>
      <c r="J158" s="12">
        <f t="shared" si="15"/>
        <v>1400</v>
      </c>
      <c r="K158" s="12">
        <f t="shared" si="16"/>
        <v>77</v>
      </c>
      <c r="L158" s="12">
        <f t="shared" si="17"/>
        <v>182</v>
      </c>
      <c r="M158" s="12">
        <f t="shared" si="18"/>
        <v>1582</v>
      </c>
      <c r="N158" s="12">
        <f t="shared" si="19"/>
        <v>1323</v>
      </c>
      <c r="O158" s="12">
        <v>122.28</v>
      </c>
      <c r="P158" s="12">
        <f t="shared" si="21"/>
        <v>199.28</v>
      </c>
      <c r="Q158" s="12">
        <f t="shared" si="20"/>
        <v>1200.72</v>
      </c>
    </row>
    <row r="159" spans="1:17" s="9" customFormat="1" ht="20.100000000000001" customHeight="1" x14ac:dyDescent="0.3">
      <c r="A159" s="9">
        <v>157</v>
      </c>
      <c r="B159" s="9" t="s">
        <v>362</v>
      </c>
      <c r="C159" s="9" t="s">
        <v>363</v>
      </c>
      <c r="D159" s="9" t="s">
        <v>353</v>
      </c>
      <c r="E159" s="15">
        <v>46113</v>
      </c>
      <c r="F159" s="15">
        <v>46295</v>
      </c>
      <c r="G159" s="11">
        <v>1400</v>
      </c>
      <c r="H159" s="12">
        <v>1400</v>
      </c>
      <c r="I159" s="13">
        <v>1</v>
      </c>
      <c r="J159" s="12">
        <f t="shared" si="15"/>
        <v>1400</v>
      </c>
      <c r="K159" s="12">
        <f t="shared" si="16"/>
        <v>77</v>
      </c>
      <c r="L159" s="12">
        <f t="shared" si="17"/>
        <v>182</v>
      </c>
      <c r="M159" s="12">
        <f t="shared" si="18"/>
        <v>1582</v>
      </c>
      <c r="N159" s="12">
        <f t="shared" si="19"/>
        <v>1323</v>
      </c>
      <c r="O159" s="12">
        <v>122.28</v>
      </c>
      <c r="P159" s="12">
        <f t="shared" si="21"/>
        <v>199.28</v>
      </c>
      <c r="Q159" s="12">
        <f t="shared" si="20"/>
        <v>1200.72</v>
      </c>
    </row>
    <row r="160" spans="1:17" s="9" customFormat="1" ht="20.100000000000001" customHeight="1" x14ac:dyDescent="0.3">
      <c r="A160" s="9">
        <v>158</v>
      </c>
      <c r="B160" s="9" t="s">
        <v>364</v>
      </c>
      <c r="C160" s="9" t="s">
        <v>365</v>
      </c>
      <c r="D160" s="9" t="s">
        <v>353</v>
      </c>
      <c r="E160" s="15">
        <v>46143</v>
      </c>
      <c r="F160" s="15">
        <v>46325</v>
      </c>
      <c r="G160" s="11">
        <v>1400</v>
      </c>
      <c r="H160" s="12">
        <v>1400</v>
      </c>
      <c r="I160" s="13">
        <v>1</v>
      </c>
      <c r="J160" s="12">
        <f t="shared" si="15"/>
        <v>1400</v>
      </c>
      <c r="K160" s="12">
        <f t="shared" si="16"/>
        <v>77</v>
      </c>
      <c r="L160" s="12">
        <f t="shared" si="17"/>
        <v>182</v>
      </c>
      <c r="M160" s="12">
        <f t="shared" si="18"/>
        <v>1582</v>
      </c>
      <c r="N160" s="12">
        <f t="shared" si="19"/>
        <v>1323</v>
      </c>
      <c r="O160" s="12">
        <v>122.28</v>
      </c>
      <c r="P160" s="12">
        <f t="shared" si="21"/>
        <v>199.28</v>
      </c>
      <c r="Q160" s="12">
        <f t="shared" si="20"/>
        <v>1200.72</v>
      </c>
    </row>
    <row r="161" spans="1:83" s="9" customFormat="1" ht="20.100000000000001" customHeight="1" x14ac:dyDescent="0.3">
      <c r="A161" s="9">
        <v>159</v>
      </c>
      <c r="B161" s="9" t="s">
        <v>366</v>
      </c>
      <c r="C161" s="17" t="s">
        <v>367</v>
      </c>
      <c r="D161" s="9" t="s">
        <v>353</v>
      </c>
      <c r="E161" s="15">
        <v>46113</v>
      </c>
      <c r="F161" s="15">
        <v>46295</v>
      </c>
      <c r="G161" s="11">
        <v>1400</v>
      </c>
      <c r="H161" s="12">
        <v>1400</v>
      </c>
      <c r="I161" s="13">
        <v>1</v>
      </c>
      <c r="J161" s="12">
        <f t="shared" si="15"/>
        <v>1400</v>
      </c>
      <c r="K161" s="12">
        <f t="shared" si="16"/>
        <v>77</v>
      </c>
      <c r="L161" s="12">
        <f t="shared" si="17"/>
        <v>182</v>
      </c>
      <c r="M161" s="12">
        <f t="shared" si="18"/>
        <v>1582</v>
      </c>
      <c r="N161" s="12">
        <f t="shared" si="19"/>
        <v>1323</v>
      </c>
      <c r="O161" s="12">
        <v>122.28</v>
      </c>
      <c r="P161" s="12">
        <f t="shared" si="21"/>
        <v>199.28</v>
      </c>
      <c r="Q161" s="12">
        <f t="shared" si="20"/>
        <v>1200.72</v>
      </c>
    </row>
    <row r="162" spans="1:83" s="9" customFormat="1" ht="20.100000000000001" customHeight="1" x14ac:dyDescent="0.3">
      <c r="A162" s="9">
        <v>160</v>
      </c>
      <c r="B162" s="9" t="s">
        <v>368</v>
      </c>
      <c r="C162" s="9" t="s">
        <v>369</v>
      </c>
      <c r="D162" s="9" t="s">
        <v>353</v>
      </c>
      <c r="E162" s="15">
        <v>46113</v>
      </c>
      <c r="F162" s="15">
        <v>46295</v>
      </c>
      <c r="G162" s="11">
        <v>1400</v>
      </c>
      <c r="H162" s="12">
        <v>1400</v>
      </c>
      <c r="I162" s="13">
        <v>1</v>
      </c>
      <c r="J162" s="12">
        <f t="shared" si="15"/>
        <v>1400</v>
      </c>
      <c r="K162" s="12">
        <f t="shared" si="16"/>
        <v>77</v>
      </c>
      <c r="L162" s="12">
        <f t="shared" si="17"/>
        <v>182</v>
      </c>
      <c r="M162" s="12">
        <f t="shared" si="18"/>
        <v>1582</v>
      </c>
      <c r="N162" s="12">
        <f t="shared" si="19"/>
        <v>1323</v>
      </c>
      <c r="O162" s="12">
        <v>122.28</v>
      </c>
      <c r="P162" s="12">
        <f t="shared" si="21"/>
        <v>199.28</v>
      </c>
      <c r="Q162" s="12">
        <f t="shared" si="20"/>
        <v>1200.72</v>
      </c>
    </row>
    <row r="163" spans="1:83" s="9" customFormat="1" ht="20.100000000000001" customHeight="1" x14ac:dyDescent="0.3">
      <c r="A163" s="9">
        <v>161</v>
      </c>
      <c r="B163" s="9" t="s">
        <v>370</v>
      </c>
      <c r="C163" s="9" t="s">
        <v>371</v>
      </c>
      <c r="D163" s="9" t="s">
        <v>353</v>
      </c>
      <c r="E163" s="15">
        <v>46113</v>
      </c>
      <c r="F163" s="15">
        <v>46295</v>
      </c>
      <c r="G163" s="11">
        <v>1400</v>
      </c>
      <c r="H163" s="12">
        <v>1400</v>
      </c>
      <c r="I163" s="13">
        <v>1</v>
      </c>
      <c r="J163" s="12">
        <f t="shared" si="15"/>
        <v>1400</v>
      </c>
      <c r="K163" s="12">
        <f t="shared" si="16"/>
        <v>77</v>
      </c>
      <c r="L163" s="12">
        <f t="shared" si="17"/>
        <v>182</v>
      </c>
      <c r="M163" s="12">
        <f t="shared" si="18"/>
        <v>1582</v>
      </c>
      <c r="N163" s="12">
        <f t="shared" si="19"/>
        <v>1323</v>
      </c>
      <c r="O163" s="12">
        <v>122.28</v>
      </c>
      <c r="P163" s="12">
        <f t="shared" si="21"/>
        <v>199.28</v>
      </c>
      <c r="Q163" s="12">
        <f t="shared" si="20"/>
        <v>1200.72</v>
      </c>
    </row>
    <row r="164" spans="1:83" s="9" customFormat="1" ht="20.100000000000001" customHeight="1" x14ac:dyDescent="0.3">
      <c r="A164" s="9">
        <v>162</v>
      </c>
      <c r="B164" s="9" t="s">
        <v>372</v>
      </c>
      <c r="C164" s="9" t="s">
        <v>373</v>
      </c>
      <c r="D164" s="9" t="s">
        <v>353</v>
      </c>
      <c r="E164" s="15">
        <v>46113</v>
      </c>
      <c r="F164" s="15">
        <v>46295</v>
      </c>
      <c r="G164" s="11">
        <v>1400</v>
      </c>
      <c r="H164" s="12">
        <v>1400</v>
      </c>
      <c r="I164" s="13">
        <v>1</v>
      </c>
      <c r="J164" s="12">
        <f t="shared" si="15"/>
        <v>1400</v>
      </c>
      <c r="K164" s="12">
        <f t="shared" si="16"/>
        <v>77</v>
      </c>
      <c r="L164" s="12">
        <f t="shared" si="17"/>
        <v>182</v>
      </c>
      <c r="M164" s="12">
        <f t="shared" si="18"/>
        <v>1582</v>
      </c>
      <c r="N164" s="12">
        <f t="shared" si="19"/>
        <v>1323</v>
      </c>
      <c r="O164" s="12">
        <v>122.28</v>
      </c>
      <c r="P164" s="12">
        <f t="shared" si="21"/>
        <v>199.28</v>
      </c>
      <c r="Q164" s="12">
        <f t="shared" si="20"/>
        <v>1200.72</v>
      </c>
    </row>
    <row r="165" spans="1:83" s="9" customFormat="1" ht="20.100000000000001" customHeight="1" x14ac:dyDescent="0.3">
      <c r="A165" s="9">
        <v>163</v>
      </c>
      <c r="B165" s="9" t="s">
        <v>374</v>
      </c>
      <c r="C165" s="9" t="s">
        <v>375</v>
      </c>
      <c r="D165" s="9" t="s">
        <v>143</v>
      </c>
      <c r="E165" s="15">
        <v>46143</v>
      </c>
      <c r="F165" s="15">
        <v>46325</v>
      </c>
      <c r="G165" s="11">
        <v>1400</v>
      </c>
      <c r="H165" s="12">
        <v>1400</v>
      </c>
      <c r="I165" s="13">
        <v>1</v>
      </c>
      <c r="J165" s="12">
        <f t="shared" si="15"/>
        <v>1400</v>
      </c>
      <c r="K165" s="12">
        <f t="shared" si="16"/>
        <v>77</v>
      </c>
      <c r="L165" s="12">
        <f t="shared" si="17"/>
        <v>182</v>
      </c>
      <c r="M165" s="12">
        <f t="shared" si="18"/>
        <v>1582</v>
      </c>
      <c r="N165" s="12">
        <f t="shared" si="19"/>
        <v>1323</v>
      </c>
      <c r="O165" s="12">
        <v>122.28</v>
      </c>
      <c r="P165" s="12">
        <f t="shared" si="21"/>
        <v>199.28</v>
      </c>
      <c r="Q165" s="12">
        <f t="shared" si="20"/>
        <v>1200.72</v>
      </c>
    </row>
    <row r="166" spans="1:83" s="9" customFormat="1" ht="20.100000000000001" customHeight="1" x14ac:dyDescent="0.3">
      <c r="A166" s="9">
        <v>164</v>
      </c>
      <c r="B166" s="9" t="s">
        <v>376</v>
      </c>
      <c r="C166" s="9" t="s">
        <v>377</v>
      </c>
      <c r="D166" s="9" t="s">
        <v>143</v>
      </c>
      <c r="E166" s="15">
        <v>46143</v>
      </c>
      <c r="F166" s="15">
        <v>46325</v>
      </c>
      <c r="G166" s="11">
        <v>1400</v>
      </c>
      <c r="H166" s="12">
        <v>1400</v>
      </c>
      <c r="I166" s="13">
        <v>1</v>
      </c>
      <c r="J166" s="12">
        <f t="shared" si="15"/>
        <v>1400</v>
      </c>
      <c r="K166" s="12">
        <f t="shared" si="16"/>
        <v>77</v>
      </c>
      <c r="L166" s="12">
        <f t="shared" si="17"/>
        <v>182</v>
      </c>
      <c r="M166" s="12">
        <f t="shared" si="18"/>
        <v>1582</v>
      </c>
      <c r="N166" s="12">
        <f t="shared" si="19"/>
        <v>1323</v>
      </c>
      <c r="O166" s="12">
        <v>122.28</v>
      </c>
      <c r="P166" s="12">
        <f t="shared" si="21"/>
        <v>199.28</v>
      </c>
      <c r="Q166" s="12">
        <f t="shared" si="20"/>
        <v>1200.72</v>
      </c>
    </row>
    <row r="167" spans="1:83" s="19" customFormat="1" ht="20.100000000000001" customHeight="1" x14ac:dyDescent="0.3">
      <c r="A167" s="9">
        <v>165</v>
      </c>
      <c r="B167" s="9" t="s">
        <v>378</v>
      </c>
      <c r="C167" s="9" t="s">
        <v>379</v>
      </c>
      <c r="D167" s="9" t="s">
        <v>143</v>
      </c>
      <c r="E167" s="15">
        <v>46113</v>
      </c>
      <c r="F167" s="15">
        <v>46266</v>
      </c>
      <c r="G167" s="11">
        <v>1400</v>
      </c>
      <c r="H167" s="12">
        <v>1400</v>
      </c>
      <c r="I167" s="13">
        <v>1</v>
      </c>
      <c r="J167" s="12">
        <f t="shared" si="15"/>
        <v>1400</v>
      </c>
      <c r="K167" s="12">
        <f t="shared" si="16"/>
        <v>77</v>
      </c>
      <c r="L167" s="12">
        <f t="shared" si="17"/>
        <v>182</v>
      </c>
      <c r="M167" s="12">
        <f t="shared" si="18"/>
        <v>1582</v>
      </c>
      <c r="N167" s="12">
        <f t="shared" si="19"/>
        <v>1323</v>
      </c>
      <c r="O167" s="12">
        <v>122.28</v>
      </c>
      <c r="P167" s="12">
        <f t="shared" si="21"/>
        <v>199.28</v>
      </c>
      <c r="Q167" s="12">
        <f t="shared" si="20"/>
        <v>1200.72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</row>
    <row r="168" spans="1:83" s="19" customFormat="1" ht="20.100000000000001" customHeight="1" x14ac:dyDescent="0.3">
      <c r="A168" s="9">
        <v>166</v>
      </c>
      <c r="B168" s="9" t="s">
        <v>380</v>
      </c>
      <c r="C168" s="9" t="s">
        <v>381</v>
      </c>
      <c r="D168" s="9" t="s">
        <v>143</v>
      </c>
      <c r="E168" s="15">
        <v>46143</v>
      </c>
      <c r="F168" s="15">
        <v>46325</v>
      </c>
      <c r="G168" s="11">
        <v>1400</v>
      </c>
      <c r="H168" s="12">
        <v>1400</v>
      </c>
      <c r="I168" s="13">
        <v>1</v>
      </c>
      <c r="J168" s="12">
        <f t="shared" si="15"/>
        <v>1400</v>
      </c>
      <c r="K168" s="12">
        <f t="shared" si="16"/>
        <v>77</v>
      </c>
      <c r="L168" s="12">
        <f t="shared" si="17"/>
        <v>182</v>
      </c>
      <c r="M168" s="12">
        <f t="shared" si="18"/>
        <v>1582</v>
      </c>
      <c r="N168" s="12">
        <f t="shared" si="19"/>
        <v>1323</v>
      </c>
      <c r="O168" s="12">
        <v>122.28</v>
      </c>
      <c r="P168" s="12">
        <f t="shared" si="21"/>
        <v>199.28</v>
      </c>
      <c r="Q168" s="12">
        <f t="shared" si="20"/>
        <v>1200.72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</row>
    <row r="169" spans="1:83" s="19" customFormat="1" ht="20.100000000000001" customHeight="1" x14ac:dyDescent="0.3">
      <c r="A169" s="9">
        <v>167</v>
      </c>
      <c r="B169" s="9" t="s">
        <v>382</v>
      </c>
      <c r="C169" s="9" t="s">
        <v>383</v>
      </c>
      <c r="D169" s="9" t="s">
        <v>143</v>
      </c>
      <c r="E169" s="15">
        <v>46143</v>
      </c>
      <c r="F169" s="15">
        <v>46325</v>
      </c>
      <c r="G169" s="11">
        <v>1400</v>
      </c>
      <c r="H169" s="12">
        <v>1400</v>
      </c>
      <c r="I169" s="13">
        <v>1</v>
      </c>
      <c r="J169" s="12">
        <f t="shared" si="15"/>
        <v>1400</v>
      </c>
      <c r="K169" s="12">
        <f t="shared" si="16"/>
        <v>77</v>
      </c>
      <c r="L169" s="12">
        <f t="shared" si="17"/>
        <v>182</v>
      </c>
      <c r="M169" s="12">
        <f t="shared" si="18"/>
        <v>1582</v>
      </c>
      <c r="N169" s="12">
        <f t="shared" si="19"/>
        <v>1323</v>
      </c>
      <c r="O169" s="12">
        <v>122.28</v>
      </c>
      <c r="P169" s="12">
        <f t="shared" si="21"/>
        <v>199.28</v>
      </c>
      <c r="Q169" s="12">
        <f t="shared" si="20"/>
        <v>1200.72</v>
      </c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</row>
    <row r="170" spans="1:83" s="19" customFormat="1" ht="20.100000000000001" customHeight="1" x14ac:dyDescent="0.3">
      <c r="A170" s="9">
        <v>168</v>
      </c>
      <c r="B170" s="9" t="s">
        <v>384</v>
      </c>
      <c r="C170" s="9" t="s">
        <v>385</v>
      </c>
      <c r="D170" s="9" t="s">
        <v>143</v>
      </c>
      <c r="E170" s="15">
        <v>46143</v>
      </c>
      <c r="F170" s="15">
        <v>46325</v>
      </c>
      <c r="G170" s="11">
        <v>1400</v>
      </c>
      <c r="H170" s="12">
        <v>1400</v>
      </c>
      <c r="I170" s="13">
        <v>1</v>
      </c>
      <c r="J170" s="12">
        <f t="shared" si="15"/>
        <v>1400</v>
      </c>
      <c r="K170" s="12">
        <f t="shared" si="16"/>
        <v>77</v>
      </c>
      <c r="L170" s="12">
        <f t="shared" si="17"/>
        <v>182</v>
      </c>
      <c r="M170" s="12">
        <f t="shared" si="18"/>
        <v>1582</v>
      </c>
      <c r="N170" s="12">
        <f t="shared" si="19"/>
        <v>1323</v>
      </c>
      <c r="O170" s="12">
        <v>122.28</v>
      </c>
      <c r="P170" s="12">
        <f t="shared" si="21"/>
        <v>199.28</v>
      </c>
      <c r="Q170" s="12">
        <f t="shared" si="20"/>
        <v>1200.72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</row>
    <row r="171" spans="1:83" s="9" customFormat="1" ht="20.100000000000001" customHeight="1" x14ac:dyDescent="0.3">
      <c r="A171" s="9">
        <v>169</v>
      </c>
      <c r="B171" s="9" t="s">
        <v>386</v>
      </c>
      <c r="C171" s="17" t="s">
        <v>387</v>
      </c>
      <c r="D171" s="9" t="s">
        <v>310</v>
      </c>
      <c r="E171" s="10">
        <v>46113</v>
      </c>
      <c r="F171" s="10">
        <v>46295</v>
      </c>
      <c r="G171" s="11">
        <v>1400</v>
      </c>
      <c r="H171" s="12">
        <v>1400</v>
      </c>
      <c r="I171" s="13">
        <v>1</v>
      </c>
      <c r="J171" s="12">
        <f t="shared" si="15"/>
        <v>1400</v>
      </c>
      <c r="K171" s="12">
        <f t="shared" si="16"/>
        <v>77</v>
      </c>
      <c r="L171" s="12">
        <f t="shared" si="17"/>
        <v>182</v>
      </c>
      <c r="M171" s="12">
        <f t="shared" si="18"/>
        <v>1582</v>
      </c>
      <c r="N171" s="12">
        <f t="shared" si="19"/>
        <v>1323</v>
      </c>
      <c r="O171" s="12">
        <v>122.28</v>
      </c>
      <c r="P171" s="12">
        <f t="shared" si="21"/>
        <v>199.28</v>
      </c>
      <c r="Q171" s="12">
        <f t="shared" si="20"/>
        <v>1200.72</v>
      </c>
    </row>
    <row r="172" spans="1:83" s="19" customFormat="1" ht="20.100000000000001" customHeight="1" x14ac:dyDescent="0.3">
      <c r="A172" s="9">
        <v>170</v>
      </c>
      <c r="B172" s="9" t="s">
        <v>388</v>
      </c>
      <c r="C172" s="9" t="s">
        <v>389</v>
      </c>
      <c r="D172" s="9" t="s">
        <v>310</v>
      </c>
      <c r="E172" s="10">
        <v>46143</v>
      </c>
      <c r="F172" s="10">
        <v>46325</v>
      </c>
      <c r="G172" s="11">
        <v>1400</v>
      </c>
      <c r="H172" s="12">
        <v>1400</v>
      </c>
      <c r="I172" s="13">
        <v>1</v>
      </c>
      <c r="J172" s="12">
        <f t="shared" si="15"/>
        <v>1400</v>
      </c>
      <c r="K172" s="12">
        <f t="shared" si="16"/>
        <v>77</v>
      </c>
      <c r="L172" s="12">
        <f t="shared" si="17"/>
        <v>182</v>
      </c>
      <c r="M172" s="12">
        <f t="shared" si="18"/>
        <v>1582</v>
      </c>
      <c r="N172" s="12">
        <f t="shared" si="19"/>
        <v>1323</v>
      </c>
      <c r="O172" s="12">
        <v>122.28</v>
      </c>
      <c r="P172" s="12">
        <f t="shared" si="21"/>
        <v>199.28</v>
      </c>
      <c r="Q172" s="12">
        <f t="shared" si="20"/>
        <v>1200.72</v>
      </c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</row>
    <row r="173" spans="1:83" s="19" customFormat="1" ht="20.100000000000001" customHeight="1" x14ac:dyDescent="0.3">
      <c r="A173" s="9">
        <v>171</v>
      </c>
      <c r="B173" s="9" t="s">
        <v>390</v>
      </c>
      <c r="C173" s="17" t="s">
        <v>391</v>
      </c>
      <c r="D173" s="9" t="s">
        <v>181</v>
      </c>
      <c r="E173" s="15">
        <v>46113</v>
      </c>
      <c r="F173" s="15">
        <v>46266</v>
      </c>
      <c r="G173" s="11">
        <v>1400</v>
      </c>
      <c r="H173" s="12">
        <v>1400</v>
      </c>
      <c r="I173" s="13">
        <v>1</v>
      </c>
      <c r="J173" s="12">
        <f t="shared" si="15"/>
        <v>1400</v>
      </c>
      <c r="K173" s="12">
        <f t="shared" si="16"/>
        <v>77</v>
      </c>
      <c r="L173" s="12">
        <f t="shared" si="17"/>
        <v>182</v>
      </c>
      <c r="M173" s="12">
        <f t="shared" si="18"/>
        <v>1582</v>
      </c>
      <c r="N173" s="12">
        <f t="shared" si="19"/>
        <v>1323</v>
      </c>
      <c r="O173" s="12">
        <v>122.28</v>
      </c>
      <c r="P173" s="12">
        <f t="shared" si="21"/>
        <v>199.28</v>
      </c>
      <c r="Q173" s="12">
        <f t="shared" si="20"/>
        <v>1200.72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</row>
    <row r="174" spans="1:83" s="19" customFormat="1" ht="20.100000000000001" customHeight="1" x14ac:dyDescent="0.3">
      <c r="A174" s="9">
        <v>172</v>
      </c>
      <c r="B174" s="9" t="s">
        <v>392</v>
      </c>
      <c r="C174" s="9" t="s">
        <v>393</v>
      </c>
      <c r="D174" s="9" t="s">
        <v>296</v>
      </c>
      <c r="E174" s="10">
        <v>46143</v>
      </c>
      <c r="F174" s="10">
        <v>46325</v>
      </c>
      <c r="G174" s="11">
        <v>1400</v>
      </c>
      <c r="H174" s="12">
        <v>1400</v>
      </c>
      <c r="I174" s="13">
        <v>1</v>
      </c>
      <c r="J174" s="12">
        <f t="shared" si="15"/>
        <v>1400</v>
      </c>
      <c r="K174" s="12">
        <f t="shared" si="16"/>
        <v>77</v>
      </c>
      <c r="L174" s="12">
        <f t="shared" si="17"/>
        <v>182</v>
      </c>
      <c r="M174" s="12">
        <f t="shared" si="18"/>
        <v>1582</v>
      </c>
      <c r="N174" s="12">
        <f t="shared" si="19"/>
        <v>1323</v>
      </c>
      <c r="O174" s="12">
        <v>122.28</v>
      </c>
      <c r="P174" s="12">
        <f t="shared" si="21"/>
        <v>199.28</v>
      </c>
      <c r="Q174" s="12">
        <f t="shared" si="20"/>
        <v>1200.72</v>
      </c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</row>
    <row r="175" spans="1:83" s="19" customFormat="1" ht="20.100000000000001" customHeight="1" x14ac:dyDescent="0.3">
      <c r="A175" s="9">
        <v>173</v>
      </c>
      <c r="B175" s="9" t="s">
        <v>394</v>
      </c>
      <c r="C175" s="9" t="s">
        <v>395</v>
      </c>
      <c r="D175" s="9" t="s">
        <v>99</v>
      </c>
      <c r="E175" s="10">
        <v>46143</v>
      </c>
      <c r="F175" s="10">
        <v>46325</v>
      </c>
      <c r="G175" s="11">
        <v>1400</v>
      </c>
      <c r="H175" s="12">
        <v>1400</v>
      </c>
      <c r="I175" s="13">
        <v>1</v>
      </c>
      <c r="J175" s="12">
        <f t="shared" si="15"/>
        <v>1400</v>
      </c>
      <c r="K175" s="12">
        <f t="shared" si="16"/>
        <v>77</v>
      </c>
      <c r="L175" s="12">
        <f t="shared" si="17"/>
        <v>182</v>
      </c>
      <c r="M175" s="12">
        <f t="shared" si="18"/>
        <v>1582</v>
      </c>
      <c r="N175" s="12">
        <f t="shared" si="19"/>
        <v>1323</v>
      </c>
      <c r="O175" s="12">
        <v>122.28</v>
      </c>
      <c r="P175" s="12">
        <f t="shared" si="21"/>
        <v>199.28</v>
      </c>
      <c r="Q175" s="12">
        <f t="shared" si="20"/>
        <v>1200.72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</row>
    <row r="176" spans="1:83" s="21" customFormat="1" ht="20.100000000000001" customHeight="1" x14ac:dyDescent="0.3">
      <c r="A176" s="9">
        <v>174</v>
      </c>
      <c r="B176" s="9" t="s">
        <v>396</v>
      </c>
      <c r="C176" s="9" t="s">
        <v>397</v>
      </c>
      <c r="D176" s="9" t="s">
        <v>166</v>
      </c>
      <c r="E176" s="15">
        <v>46113</v>
      </c>
      <c r="F176" s="15">
        <v>46266</v>
      </c>
      <c r="G176" s="11">
        <v>1400</v>
      </c>
      <c r="H176" s="12">
        <v>1400</v>
      </c>
      <c r="I176" s="13">
        <v>1</v>
      </c>
      <c r="J176" s="12">
        <f t="shared" si="15"/>
        <v>1400</v>
      </c>
      <c r="K176" s="12">
        <f t="shared" si="16"/>
        <v>77</v>
      </c>
      <c r="L176" s="12">
        <f t="shared" si="17"/>
        <v>182</v>
      </c>
      <c r="M176" s="12">
        <f t="shared" si="18"/>
        <v>1582</v>
      </c>
      <c r="N176" s="12">
        <f t="shared" si="19"/>
        <v>1323</v>
      </c>
      <c r="O176" s="12">
        <v>122.28</v>
      </c>
      <c r="P176" s="12">
        <f t="shared" si="21"/>
        <v>199.28</v>
      </c>
      <c r="Q176" s="12">
        <f t="shared" si="20"/>
        <v>1200.72</v>
      </c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</row>
    <row r="177" spans="1:83" s="9" customFormat="1" ht="24" customHeight="1" x14ac:dyDescent="0.3">
      <c r="A177" s="9">
        <v>175</v>
      </c>
      <c r="B177" s="9" t="s">
        <v>398</v>
      </c>
      <c r="C177" s="9" t="s">
        <v>399</v>
      </c>
      <c r="D177" s="9" t="s">
        <v>166</v>
      </c>
      <c r="E177" s="15">
        <v>46113</v>
      </c>
      <c r="F177" s="15">
        <v>46266</v>
      </c>
      <c r="G177" s="11">
        <v>1400</v>
      </c>
      <c r="H177" s="12">
        <v>1400</v>
      </c>
      <c r="I177" s="13">
        <v>1</v>
      </c>
      <c r="J177" s="12">
        <f t="shared" si="15"/>
        <v>1400</v>
      </c>
      <c r="K177" s="12">
        <f t="shared" si="16"/>
        <v>77</v>
      </c>
      <c r="L177" s="12">
        <f t="shared" si="17"/>
        <v>182</v>
      </c>
      <c r="M177" s="12">
        <f t="shared" si="18"/>
        <v>1582</v>
      </c>
      <c r="N177" s="12">
        <f t="shared" si="19"/>
        <v>1323</v>
      </c>
      <c r="O177" s="12">
        <v>122.28</v>
      </c>
      <c r="P177" s="12">
        <f t="shared" si="21"/>
        <v>199.28</v>
      </c>
      <c r="Q177" s="12">
        <f t="shared" si="20"/>
        <v>1200.72</v>
      </c>
    </row>
    <row r="178" spans="1:83" s="9" customFormat="1" ht="20.100000000000001" customHeight="1" x14ac:dyDescent="0.3">
      <c r="A178" s="9">
        <v>176</v>
      </c>
      <c r="B178" s="9" t="s">
        <v>400</v>
      </c>
      <c r="C178" s="9" t="s">
        <v>401</v>
      </c>
      <c r="D178" s="9" t="s">
        <v>166</v>
      </c>
      <c r="E178" s="10">
        <v>46143</v>
      </c>
      <c r="F178" s="10">
        <v>46325</v>
      </c>
      <c r="G178" s="11">
        <v>1400</v>
      </c>
      <c r="H178" s="12">
        <v>1400</v>
      </c>
      <c r="I178" s="13">
        <v>1</v>
      </c>
      <c r="J178" s="12">
        <f t="shared" si="15"/>
        <v>1400</v>
      </c>
      <c r="K178" s="12">
        <f t="shared" si="16"/>
        <v>77</v>
      </c>
      <c r="L178" s="12">
        <f t="shared" si="17"/>
        <v>182</v>
      </c>
      <c r="M178" s="12">
        <f t="shared" si="18"/>
        <v>1582</v>
      </c>
      <c r="N178" s="12">
        <f t="shared" si="19"/>
        <v>1323</v>
      </c>
      <c r="O178" s="12">
        <v>122.28</v>
      </c>
      <c r="P178" s="12">
        <f t="shared" si="21"/>
        <v>199.28</v>
      </c>
      <c r="Q178" s="12">
        <f t="shared" si="20"/>
        <v>1200.72</v>
      </c>
    </row>
    <row r="179" spans="1:83" s="9" customFormat="1" ht="20.100000000000001" customHeight="1" x14ac:dyDescent="0.3">
      <c r="A179" s="9">
        <v>177</v>
      </c>
      <c r="B179" s="9" t="s">
        <v>402</v>
      </c>
      <c r="C179" s="9" t="s">
        <v>403</v>
      </c>
      <c r="D179" s="9" t="s">
        <v>166</v>
      </c>
      <c r="E179" s="10">
        <v>46143</v>
      </c>
      <c r="F179" s="10">
        <v>46325</v>
      </c>
      <c r="G179" s="11">
        <v>1400</v>
      </c>
      <c r="H179" s="12">
        <v>1400</v>
      </c>
      <c r="I179" s="13">
        <v>1</v>
      </c>
      <c r="J179" s="12">
        <f t="shared" si="15"/>
        <v>1400</v>
      </c>
      <c r="K179" s="12">
        <f t="shared" si="16"/>
        <v>77</v>
      </c>
      <c r="L179" s="12">
        <f t="shared" si="17"/>
        <v>182</v>
      </c>
      <c r="M179" s="12">
        <f t="shared" si="18"/>
        <v>1582</v>
      </c>
      <c r="N179" s="12">
        <f t="shared" si="19"/>
        <v>1323</v>
      </c>
      <c r="O179" s="12">
        <v>122.28</v>
      </c>
      <c r="P179" s="12">
        <f t="shared" si="21"/>
        <v>199.28</v>
      </c>
      <c r="Q179" s="12">
        <f t="shared" si="20"/>
        <v>1200.72</v>
      </c>
    </row>
    <row r="180" spans="1:83" s="9" customFormat="1" ht="20.100000000000001" customHeight="1" x14ac:dyDescent="0.3">
      <c r="A180" s="9">
        <v>178</v>
      </c>
      <c r="B180" s="9" t="s">
        <v>404</v>
      </c>
      <c r="C180" s="9" t="s">
        <v>405</v>
      </c>
      <c r="D180" s="9" t="s">
        <v>42</v>
      </c>
      <c r="E180" s="10">
        <v>46143</v>
      </c>
      <c r="F180" s="10">
        <v>46325</v>
      </c>
      <c r="G180" s="11">
        <v>1400</v>
      </c>
      <c r="H180" s="12">
        <v>1400</v>
      </c>
      <c r="I180" s="13">
        <v>1</v>
      </c>
      <c r="J180" s="12">
        <f t="shared" si="15"/>
        <v>1400</v>
      </c>
      <c r="K180" s="12">
        <f t="shared" si="16"/>
        <v>77</v>
      </c>
      <c r="L180" s="12">
        <f t="shared" si="17"/>
        <v>182</v>
      </c>
      <c r="M180" s="12">
        <f t="shared" si="18"/>
        <v>1582</v>
      </c>
      <c r="N180" s="12">
        <f t="shared" si="19"/>
        <v>1323</v>
      </c>
      <c r="O180" s="12">
        <v>122.28</v>
      </c>
      <c r="P180" s="12">
        <f t="shared" si="21"/>
        <v>199.28</v>
      </c>
      <c r="Q180" s="12">
        <f t="shared" si="20"/>
        <v>1200.72</v>
      </c>
    </row>
    <row r="181" spans="1:83" s="9" customFormat="1" ht="20.100000000000001" customHeight="1" x14ac:dyDescent="0.3">
      <c r="A181" s="9">
        <v>179</v>
      </c>
      <c r="B181" s="9" t="s">
        <v>406</v>
      </c>
      <c r="C181" s="9" t="s">
        <v>407</v>
      </c>
      <c r="D181" s="9" t="s">
        <v>42</v>
      </c>
      <c r="E181" s="10">
        <v>46143</v>
      </c>
      <c r="F181" s="10">
        <v>46325</v>
      </c>
      <c r="G181" s="11">
        <v>1400</v>
      </c>
      <c r="H181" s="12">
        <v>1400</v>
      </c>
      <c r="I181" s="13">
        <v>1</v>
      </c>
      <c r="J181" s="12">
        <f t="shared" si="15"/>
        <v>1400</v>
      </c>
      <c r="K181" s="12">
        <f t="shared" si="16"/>
        <v>77</v>
      </c>
      <c r="L181" s="12">
        <f t="shared" si="17"/>
        <v>182</v>
      </c>
      <c r="M181" s="12">
        <f t="shared" si="18"/>
        <v>1582</v>
      </c>
      <c r="N181" s="12">
        <f t="shared" si="19"/>
        <v>1323</v>
      </c>
      <c r="O181" s="12">
        <v>122.28</v>
      </c>
      <c r="P181" s="12">
        <f t="shared" si="21"/>
        <v>199.28</v>
      </c>
      <c r="Q181" s="12">
        <f t="shared" si="20"/>
        <v>1200.72</v>
      </c>
    </row>
    <row r="182" spans="1:83" s="9" customFormat="1" ht="20.100000000000001" customHeight="1" x14ac:dyDescent="0.3">
      <c r="A182" s="9">
        <v>180</v>
      </c>
      <c r="B182" s="9" t="s">
        <v>408</v>
      </c>
      <c r="C182" s="9" t="s">
        <v>409</v>
      </c>
      <c r="D182" s="9" t="s">
        <v>42</v>
      </c>
      <c r="E182" s="10">
        <v>46143</v>
      </c>
      <c r="F182" s="10">
        <v>46325</v>
      </c>
      <c r="G182" s="11">
        <v>1400</v>
      </c>
      <c r="H182" s="12">
        <v>1400</v>
      </c>
      <c r="I182" s="13">
        <v>1</v>
      </c>
      <c r="J182" s="12">
        <f t="shared" si="15"/>
        <v>1400</v>
      </c>
      <c r="K182" s="12">
        <f t="shared" si="16"/>
        <v>77</v>
      </c>
      <c r="L182" s="12">
        <f t="shared" si="17"/>
        <v>182</v>
      </c>
      <c r="M182" s="12">
        <f t="shared" si="18"/>
        <v>1582</v>
      </c>
      <c r="N182" s="12">
        <f t="shared" si="19"/>
        <v>1323</v>
      </c>
      <c r="O182" s="12">
        <v>122.28</v>
      </c>
      <c r="P182" s="12">
        <f t="shared" si="21"/>
        <v>199.28</v>
      </c>
      <c r="Q182" s="12">
        <f t="shared" si="20"/>
        <v>1200.72</v>
      </c>
    </row>
    <row r="183" spans="1:83" s="19" customFormat="1" ht="20.100000000000001" customHeight="1" x14ac:dyDescent="0.3">
      <c r="A183" s="9">
        <v>181</v>
      </c>
      <c r="B183" s="9" t="s">
        <v>410</v>
      </c>
      <c r="C183" s="9" t="s">
        <v>411</v>
      </c>
      <c r="D183" s="9" t="s">
        <v>42</v>
      </c>
      <c r="E183" s="10">
        <v>46143</v>
      </c>
      <c r="F183" s="10">
        <v>46325</v>
      </c>
      <c r="G183" s="11">
        <v>1400</v>
      </c>
      <c r="H183" s="12">
        <v>1400</v>
      </c>
      <c r="I183" s="13">
        <v>1</v>
      </c>
      <c r="J183" s="12">
        <f t="shared" si="15"/>
        <v>1400</v>
      </c>
      <c r="K183" s="12">
        <f t="shared" si="16"/>
        <v>77</v>
      </c>
      <c r="L183" s="12">
        <f t="shared" si="17"/>
        <v>182</v>
      </c>
      <c r="M183" s="12">
        <f t="shared" si="18"/>
        <v>1582</v>
      </c>
      <c r="N183" s="12">
        <f t="shared" si="19"/>
        <v>1323</v>
      </c>
      <c r="O183" s="12">
        <v>122.28</v>
      </c>
      <c r="P183" s="12">
        <f t="shared" si="21"/>
        <v>199.28</v>
      </c>
      <c r="Q183" s="12">
        <f t="shared" si="20"/>
        <v>1200.72</v>
      </c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</row>
    <row r="184" spans="1:83" s="9" customFormat="1" ht="20.100000000000001" customHeight="1" x14ac:dyDescent="0.3">
      <c r="A184" s="9">
        <v>182</v>
      </c>
      <c r="B184" s="9" t="s">
        <v>412</v>
      </c>
      <c r="C184" s="9" t="s">
        <v>413</v>
      </c>
      <c r="D184" s="9" t="s">
        <v>42</v>
      </c>
      <c r="E184" s="15">
        <v>46113</v>
      </c>
      <c r="F184" s="15">
        <v>46295</v>
      </c>
      <c r="G184" s="11">
        <v>1400</v>
      </c>
      <c r="H184" s="12">
        <v>1400</v>
      </c>
      <c r="I184" s="13">
        <v>1</v>
      </c>
      <c r="J184" s="12">
        <f t="shared" si="15"/>
        <v>1400</v>
      </c>
      <c r="K184" s="12">
        <f t="shared" si="16"/>
        <v>77</v>
      </c>
      <c r="L184" s="12">
        <f t="shared" si="17"/>
        <v>182</v>
      </c>
      <c r="M184" s="12">
        <f t="shared" si="18"/>
        <v>1582</v>
      </c>
      <c r="N184" s="12">
        <f t="shared" si="19"/>
        <v>1323</v>
      </c>
      <c r="O184" s="12">
        <v>122.28</v>
      </c>
      <c r="P184" s="12">
        <f t="shared" si="21"/>
        <v>199.28</v>
      </c>
      <c r="Q184" s="12">
        <f t="shared" si="20"/>
        <v>1200.72</v>
      </c>
    </row>
    <row r="185" spans="1:83" s="19" customFormat="1" ht="20.100000000000001" customHeight="1" x14ac:dyDescent="0.3">
      <c r="A185" s="9">
        <v>183</v>
      </c>
      <c r="B185" s="9" t="s">
        <v>414</v>
      </c>
      <c r="C185" s="9" t="s">
        <v>415</v>
      </c>
      <c r="D185" s="9" t="s">
        <v>416</v>
      </c>
      <c r="E185" s="10">
        <v>46143</v>
      </c>
      <c r="F185" s="10">
        <v>46325</v>
      </c>
      <c r="G185" s="11">
        <v>1400</v>
      </c>
      <c r="H185" s="12">
        <v>1400</v>
      </c>
      <c r="I185" s="13">
        <v>1</v>
      </c>
      <c r="J185" s="12">
        <f t="shared" si="15"/>
        <v>1400</v>
      </c>
      <c r="K185" s="12">
        <f t="shared" si="16"/>
        <v>77</v>
      </c>
      <c r="L185" s="12">
        <f t="shared" si="17"/>
        <v>182</v>
      </c>
      <c r="M185" s="12">
        <f t="shared" si="18"/>
        <v>1582</v>
      </c>
      <c r="N185" s="12">
        <f t="shared" si="19"/>
        <v>1323</v>
      </c>
      <c r="O185" s="12">
        <v>122.28</v>
      </c>
      <c r="P185" s="12">
        <f t="shared" si="21"/>
        <v>199.28</v>
      </c>
      <c r="Q185" s="12">
        <f t="shared" si="20"/>
        <v>1200.72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</row>
    <row r="186" spans="1:83" s="19" customFormat="1" ht="20.100000000000001" customHeight="1" x14ac:dyDescent="0.3">
      <c r="A186" s="9">
        <v>184</v>
      </c>
      <c r="B186" s="9" t="s">
        <v>417</v>
      </c>
      <c r="C186" s="9" t="s">
        <v>418</v>
      </c>
      <c r="D186" s="9" t="s">
        <v>416</v>
      </c>
      <c r="E186" s="10">
        <v>46143</v>
      </c>
      <c r="F186" s="10">
        <v>46325</v>
      </c>
      <c r="G186" s="11">
        <v>1400</v>
      </c>
      <c r="H186" s="12">
        <v>1400</v>
      </c>
      <c r="I186" s="13">
        <v>1</v>
      </c>
      <c r="J186" s="12">
        <f t="shared" si="15"/>
        <v>1400</v>
      </c>
      <c r="K186" s="12">
        <f t="shared" si="16"/>
        <v>77</v>
      </c>
      <c r="L186" s="12">
        <f t="shared" si="17"/>
        <v>182</v>
      </c>
      <c r="M186" s="12">
        <f t="shared" si="18"/>
        <v>1582</v>
      </c>
      <c r="N186" s="12">
        <f t="shared" si="19"/>
        <v>1323</v>
      </c>
      <c r="O186" s="12">
        <v>122.28</v>
      </c>
      <c r="P186" s="12">
        <f t="shared" si="21"/>
        <v>199.28</v>
      </c>
      <c r="Q186" s="12">
        <f t="shared" si="20"/>
        <v>1200.72</v>
      </c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</row>
    <row r="187" spans="1:83" s="19" customFormat="1" ht="20.100000000000001" customHeight="1" x14ac:dyDescent="0.3">
      <c r="A187" s="9">
        <v>185</v>
      </c>
      <c r="B187" s="9" t="s">
        <v>419</v>
      </c>
      <c r="C187" s="9" t="s">
        <v>420</v>
      </c>
      <c r="D187" s="9" t="s">
        <v>23</v>
      </c>
      <c r="E187" s="10">
        <v>46143</v>
      </c>
      <c r="F187" s="10">
        <v>46325</v>
      </c>
      <c r="G187" s="11">
        <v>1400</v>
      </c>
      <c r="H187" s="12">
        <v>1400</v>
      </c>
      <c r="I187" s="13">
        <v>1</v>
      </c>
      <c r="J187" s="12">
        <f t="shared" si="15"/>
        <v>1400</v>
      </c>
      <c r="K187" s="12">
        <f t="shared" si="16"/>
        <v>77</v>
      </c>
      <c r="L187" s="12">
        <f t="shared" si="17"/>
        <v>182</v>
      </c>
      <c r="M187" s="12">
        <f t="shared" si="18"/>
        <v>1582</v>
      </c>
      <c r="N187" s="12">
        <f t="shared" si="19"/>
        <v>1323</v>
      </c>
      <c r="O187" s="12">
        <v>122.28</v>
      </c>
      <c r="P187" s="12">
        <f t="shared" si="21"/>
        <v>199.28</v>
      </c>
      <c r="Q187" s="12">
        <f t="shared" si="20"/>
        <v>1200.72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</row>
    <row r="188" spans="1:83" s="19" customFormat="1" ht="20.100000000000001" customHeight="1" x14ac:dyDescent="0.3">
      <c r="A188" s="9">
        <v>186</v>
      </c>
      <c r="B188" s="9" t="s">
        <v>421</v>
      </c>
      <c r="C188" s="9" t="s">
        <v>422</v>
      </c>
      <c r="D188" s="14" t="s">
        <v>26</v>
      </c>
      <c r="E188" s="10">
        <v>46143</v>
      </c>
      <c r="F188" s="10">
        <v>46325</v>
      </c>
      <c r="G188" s="11">
        <v>1400</v>
      </c>
      <c r="H188" s="12">
        <v>1400</v>
      </c>
      <c r="I188" s="13">
        <v>1</v>
      </c>
      <c r="J188" s="12">
        <f t="shared" si="15"/>
        <v>1400</v>
      </c>
      <c r="K188" s="12">
        <f t="shared" si="16"/>
        <v>77</v>
      </c>
      <c r="L188" s="12">
        <f t="shared" si="17"/>
        <v>182</v>
      </c>
      <c r="M188" s="12">
        <f t="shared" si="18"/>
        <v>1582</v>
      </c>
      <c r="N188" s="12">
        <f t="shared" si="19"/>
        <v>1323</v>
      </c>
      <c r="O188" s="12">
        <v>122.28</v>
      </c>
      <c r="P188" s="12">
        <f t="shared" si="21"/>
        <v>199.28</v>
      </c>
      <c r="Q188" s="12">
        <f t="shared" si="20"/>
        <v>1200.72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</row>
    <row r="189" spans="1:83" s="19" customFormat="1" ht="20.100000000000001" customHeight="1" x14ac:dyDescent="0.3">
      <c r="A189" s="9">
        <v>187</v>
      </c>
      <c r="B189" s="9" t="s">
        <v>423</v>
      </c>
      <c r="C189" s="9" t="s">
        <v>424</v>
      </c>
      <c r="D189" s="9" t="s">
        <v>124</v>
      </c>
      <c r="E189" s="15">
        <v>46113</v>
      </c>
      <c r="F189" s="15">
        <v>46295</v>
      </c>
      <c r="G189" s="11">
        <v>1400</v>
      </c>
      <c r="H189" s="12">
        <v>1400</v>
      </c>
      <c r="I189" s="13">
        <v>1</v>
      </c>
      <c r="J189" s="12">
        <f t="shared" si="15"/>
        <v>1400</v>
      </c>
      <c r="K189" s="12">
        <f t="shared" si="16"/>
        <v>77</v>
      </c>
      <c r="L189" s="12">
        <f t="shared" si="17"/>
        <v>182</v>
      </c>
      <c r="M189" s="12">
        <f t="shared" si="18"/>
        <v>1582</v>
      </c>
      <c r="N189" s="12">
        <f t="shared" si="19"/>
        <v>1323</v>
      </c>
      <c r="O189" s="12">
        <v>122.28</v>
      </c>
      <c r="P189" s="12">
        <f t="shared" si="21"/>
        <v>199.28</v>
      </c>
      <c r="Q189" s="12">
        <f t="shared" si="20"/>
        <v>1200.72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</row>
    <row r="190" spans="1:83" s="19" customFormat="1" ht="20.100000000000001" customHeight="1" x14ac:dyDescent="0.3">
      <c r="A190" s="9">
        <v>188</v>
      </c>
      <c r="B190" s="9" t="s">
        <v>425</v>
      </c>
      <c r="C190" s="9" t="s">
        <v>426</v>
      </c>
      <c r="D190" s="9" t="s">
        <v>192</v>
      </c>
      <c r="E190" s="10">
        <v>46143</v>
      </c>
      <c r="F190" s="10">
        <v>46325</v>
      </c>
      <c r="G190" s="11">
        <v>1400</v>
      </c>
      <c r="H190" s="12">
        <v>1400</v>
      </c>
      <c r="I190" s="13">
        <v>1</v>
      </c>
      <c r="J190" s="12">
        <f t="shared" si="15"/>
        <v>1400</v>
      </c>
      <c r="K190" s="12">
        <f t="shared" si="16"/>
        <v>77</v>
      </c>
      <c r="L190" s="12">
        <f t="shared" si="17"/>
        <v>182</v>
      </c>
      <c r="M190" s="12">
        <f t="shared" si="18"/>
        <v>1582</v>
      </c>
      <c r="N190" s="12">
        <f t="shared" si="19"/>
        <v>1323</v>
      </c>
      <c r="O190" s="12">
        <v>122.28</v>
      </c>
      <c r="P190" s="12">
        <f t="shared" si="21"/>
        <v>199.28</v>
      </c>
      <c r="Q190" s="12">
        <f t="shared" si="20"/>
        <v>1200.72</v>
      </c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</row>
    <row r="191" spans="1:83" s="19" customFormat="1" ht="20.100000000000001" customHeight="1" x14ac:dyDescent="0.3">
      <c r="A191" s="9">
        <v>189</v>
      </c>
      <c r="B191" s="9" t="s">
        <v>427</v>
      </c>
      <c r="C191" s="9" t="s">
        <v>428</v>
      </c>
      <c r="D191" s="9" t="s">
        <v>192</v>
      </c>
      <c r="E191" s="10">
        <v>46143</v>
      </c>
      <c r="F191" s="10">
        <v>46325</v>
      </c>
      <c r="G191" s="11">
        <v>1400</v>
      </c>
      <c r="H191" s="12">
        <v>1400</v>
      </c>
      <c r="I191" s="13">
        <v>1</v>
      </c>
      <c r="J191" s="12">
        <f t="shared" si="15"/>
        <v>1400</v>
      </c>
      <c r="K191" s="12">
        <f t="shared" si="16"/>
        <v>77</v>
      </c>
      <c r="L191" s="12">
        <f t="shared" si="17"/>
        <v>182</v>
      </c>
      <c r="M191" s="12">
        <f t="shared" si="18"/>
        <v>1582</v>
      </c>
      <c r="N191" s="12">
        <f t="shared" si="19"/>
        <v>1323</v>
      </c>
      <c r="O191" s="12">
        <v>122.28</v>
      </c>
      <c r="P191" s="12">
        <f t="shared" si="21"/>
        <v>199.28</v>
      </c>
      <c r="Q191" s="12">
        <f t="shared" si="20"/>
        <v>1200.72</v>
      </c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</row>
    <row r="192" spans="1:83" s="19" customFormat="1" ht="20.100000000000001" customHeight="1" x14ac:dyDescent="0.3">
      <c r="A192" s="9">
        <v>190</v>
      </c>
      <c r="B192" s="9" t="s">
        <v>429</v>
      </c>
      <c r="C192" s="9" t="s">
        <v>430</v>
      </c>
      <c r="D192" s="9" t="s">
        <v>96</v>
      </c>
      <c r="E192" s="10">
        <v>46143</v>
      </c>
      <c r="F192" s="10">
        <v>46325</v>
      </c>
      <c r="G192" s="11">
        <v>1400</v>
      </c>
      <c r="H192" s="12">
        <v>1400</v>
      </c>
      <c r="I192" s="13">
        <v>1</v>
      </c>
      <c r="J192" s="12">
        <f t="shared" si="15"/>
        <v>1400</v>
      </c>
      <c r="K192" s="12">
        <f t="shared" si="16"/>
        <v>77</v>
      </c>
      <c r="L192" s="12">
        <f t="shared" si="17"/>
        <v>182</v>
      </c>
      <c r="M192" s="12">
        <f t="shared" si="18"/>
        <v>1582</v>
      </c>
      <c r="N192" s="12">
        <f t="shared" si="19"/>
        <v>1323</v>
      </c>
      <c r="O192" s="12">
        <v>122.28</v>
      </c>
      <c r="P192" s="12">
        <f t="shared" si="21"/>
        <v>199.28</v>
      </c>
      <c r="Q192" s="12">
        <f t="shared" si="20"/>
        <v>1200.72</v>
      </c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</row>
    <row r="193" spans="1:83" s="19" customFormat="1" ht="20.100000000000001" customHeight="1" x14ac:dyDescent="0.3">
      <c r="A193" s="9">
        <v>191</v>
      </c>
      <c r="B193" s="9" t="s">
        <v>431</v>
      </c>
      <c r="C193" s="9" t="s">
        <v>432</v>
      </c>
      <c r="D193" s="9" t="s">
        <v>96</v>
      </c>
      <c r="E193" s="10">
        <v>46143</v>
      </c>
      <c r="F193" s="10">
        <v>46325</v>
      </c>
      <c r="G193" s="11">
        <v>1400</v>
      </c>
      <c r="H193" s="12">
        <v>1400</v>
      </c>
      <c r="I193" s="13">
        <v>1</v>
      </c>
      <c r="J193" s="12">
        <f t="shared" si="15"/>
        <v>1400</v>
      </c>
      <c r="K193" s="12">
        <f t="shared" si="16"/>
        <v>77</v>
      </c>
      <c r="L193" s="12">
        <f t="shared" si="17"/>
        <v>182</v>
      </c>
      <c r="M193" s="12">
        <f t="shared" si="18"/>
        <v>1582</v>
      </c>
      <c r="N193" s="12">
        <f t="shared" si="19"/>
        <v>1323</v>
      </c>
      <c r="O193" s="12">
        <v>122.28</v>
      </c>
      <c r="P193" s="12">
        <f t="shared" si="21"/>
        <v>199.28</v>
      </c>
      <c r="Q193" s="12">
        <f t="shared" si="20"/>
        <v>1200.72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</row>
    <row r="194" spans="1:83" s="19" customFormat="1" ht="20.100000000000001" customHeight="1" x14ac:dyDescent="0.3">
      <c r="A194" s="9">
        <v>192</v>
      </c>
      <c r="B194" s="9" t="s">
        <v>433</v>
      </c>
      <c r="C194" s="9" t="s">
        <v>434</v>
      </c>
      <c r="D194" s="9" t="s">
        <v>435</v>
      </c>
      <c r="E194" s="10">
        <v>46143</v>
      </c>
      <c r="F194" s="10">
        <v>46325</v>
      </c>
      <c r="G194" s="11">
        <v>1400</v>
      </c>
      <c r="H194" s="12">
        <v>1400</v>
      </c>
      <c r="I194" s="13">
        <v>1</v>
      </c>
      <c r="J194" s="12">
        <f t="shared" si="15"/>
        <v>1400</v>
      </c>
      <c r="K194" s="12">
        <f t="shared" si="16"/>
        <v>77</v>
      </c>
      <c r="L194" s="12">
        <f t="shared" si="17"/>
        <v>182</v>
      </c>
      <c r="M194" s="12">
        <f t="shared" si="18"/>
        <v>1582</v>
      </c>
      <c r="N194" s="12">
        <f t="shared" si="19"/>
        <v>1323</v>
      </c>
      <c r="O194" s="12">
        <v>122.28</v>
      </c>
      <c r="P194" s="12">
        <f t="shared" si="21"/>
        <v>199.28</v>
      </c>
      <c r="Q194" s="12">
        <f t="shared" si="20"/>
        <v>1200.72</v>
      </c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</row>
    <row r="195" spans="1:83" s="19" customFormat="1" ht="20.100000000000001" customHeight="1" x14ac:dyDescent="0.3">
      <c r="A195" s="9">
        <v>193</v>
      </c>
      <c r="B195" s="9" t="s">
        <v>436</v>
      </c>
      <c r="C195" s="9" t="s">
        <v>437</v>
      </c>
      <c r="D195" s="9" t="s">
        <v>353</v>
      </c>
      <c r="E195" s="15">
        <v>46113</v>
      </c>
      <c r="F195" s="15">
        <v>46295</v>
      </c>
      <c r="G195" s="11">
        <v>1400</v>
      </c>
      <c r="H195" s="12">
        <v>1400</v>
      </c>
      <c r="I195" s="13">
        <v>1</v>
      </c>
      <c r="J195" s="12">
        <f t="shared" ref="J195:J258" si="22">H195*I195</f>
        <v>1400</v>
      </c>
      <c r="K195" s="12">
        <f t="shared" ref="K195:K258" si="23">J195*0.055</f>
        <v>77</v>
      </c>
      <c r="L195" s="12">
        <f t="shared" ref="L195:L258" si="24">0.13*J195</f>
        <v>182</v>
      </c>
      <c r="M195" s="12">
        <f t="shared" ref="M195:M258" si="25">J195+L195</f>
        <v>1582</v>
      </c>
      <c r="N195" s="12">
        <f t="shared" ref="N195:N258" si="26">J195-K195</f>
        <v>1323</v>
      </c>
      <c r="O195" s="12">
        <v>122.28</v>
      </c>
      <c r="P195" s="12">
        <f t="shared" si="21"/>
        <v>199.28</v>
      </c>
      <c r="Q195" s="12">
        <f t="shared" ref="Q195:Q258" si="27">J195-P195</f>
        <v>1200.72</v>
      </c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</row>
    <row r="196" spans="1:83" s="19" customFormat="1" ht="20.100000000000001" customHeight="1" x14ac:dyDescent="0.3">
      <c r="A196" s="9">
        <v>194</v>
      </c>
      <c r="B196" s="9" t="s">
        <v>438</v>
      </c>
      <c r="C196" s="9" t="s">
        <v>439</v>
      </c>
      <c r="D196" s="9" t="s">
        <v>353</v>
      </c>
      <c r="E196" s="15">
        <v>46113</v>
      </c>
      <c r="F196" s="15">
        <v>46266</v>
      </c>
      <c r="G196" s="11">
        <v>1400</v>
      </c>
      <c r="H196" s="12">
        <v>1400</v>
      </c>
      <c r="I196" s="13">
        <v>1</v>
      </c>
      <c r="J196" s="12">
        <f t="shared" si="22"/>
        <v>1400</v>
      </c>
      <c r="K196" s="12">
        <f t="shared" si="23"/>
        <v>77</v>
      </c>
      <c r="L196" s="12">
        <f t="shared" si="24"/>
        <v>182</v>
      </c>
      <c r="M196" s="12">
        <f t="shared" si="25"/>
        <v>1582</v>
      </c>
      <c r="N196" s="12">
        <f t="shared" si="26"/>
        <v>1323</v>
      </c>
      <c r="O196" s="12">
        <v>122.28</v>
      </c>
      <c r="P196" s="12">
        <f t="shared" si="21"/>
        <v>199.28</v>
      </c>
      <c r="Q196" s="12">
        <f t="shared" si="27"/>
        <v>1200.72</v>
      </c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</row>
    <row r="197" spans="1:83" s="19" customFormat="1" ht="20.100000000000001" customHeight="1" x14ac:dyDescent="0.3">
      <c r="A197" s="9">
        <v>195</v>
      </c>
      <c r="B197" s="9" t="s">
        <v>440</v>
      </c>
      <c r="C197" s="9" t="s">
        <v>441</v>
      </c>
      <c r="D197" s="9" t="s">
        <v>353</v>
      </c>
      <c r="E197" s="15">
        <v>46113</v>
      </c>
      <c r="F197" s="15">
        <v>46266</v>
      </c>
      <c r="G197" s="11">
        <v>1400</v>
      </c>
      <c r="H197" s="12">
        <v>1400</v>
      </c>
      <c r="I197" s="13">
        <v>1</v>
      </c>
      <c r="J197" s="12">
        <f t="shared" si="22"/>
        <v>1400</v>
      </c>
      <c r="K197" s="12">
        <f t="shared" si="23"/>
        <v>77</v>
      </c>
      <c r="L197" s="12">
        <f t="shared" si="24"/>
        <v>182</v>
      </c>
      <c r="M197" s="12">
        <f t="shared" si="25"/>
        <v>1582</v>
      </c>
      <c r="N197" s="12">
        <f t="shared" si="26"/>
        <v>1323</v>
      </c>
      <c r="O197" s="12">
        <v>122.28</v>
      </c>
      <c r="P197" s="12">
        <f t="shared" si="21"/>
        <v>199.28</v>
      </c>
      <c r="Q197" s="12">
        <f t="shared" si="27"/>
        <v>1200.72</v>
      </c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</row>
    <row r="198" spans="1:83" s="19" customFormat="1" ht="20.100000000000001" customHeight="1" x14ac:dyDescent="0.3">
      <c r="A198" s="9">
        <v>196</v>
      </c>
      <c r="B198" s="9" t="s">
        <v>442</v>
      </c>
      <c r="C198" s="9" t="s">
        <v>443</v>
      </c>
      <c r="D198" s="9" t="s">
        <v>353</v>
      </c>
      <c r="E198" s="15">
        <v>46113</v>
      </c>
      <c r="F198" s="15">
        <v>46295</v>
      </c>
      <c r="G198" s="11">
        <v>1400</v>
      </c>
      <c r="H198" s="12">
        <v>1400</v>
      </c>
      <c r="I198" s="13">
        <v>1</v>
      </c>
      <c r="J198" s="12">
        <f t="shared" si="22"/>
        <v>1400</v>
      </c>
      <c r="K198" s="12">
        <f t="shared" si="23"/>
        <v>77</v>
      </c>
      <c r="L198" s="12">
        <f t="shared" si="24"/>
        <v>182</v>
      </c>
      <c r="M198" s="12">
        <f t="shared" si="25"/>
        <v>1582</v>
      </c>
      <c r="N198" s="12">
        <f t="shared" si="26"/>
        <v>1323</v>
      </c>
      <c r="O198" s="12">
        <v>122.28</v>
      </c>
      <c r="P198" s="12">
        <f t="shared" si="21"/>
        <v>199.28</v>
      </c>
      <c r="Q198" s="12">
        <f t="shared" si="27"/>
        <v>1200.72</v>
      </c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</row>
    <row r="199" spans="1:83" s="19" customFormat="1" ht="20.100000000000001" customHeight="1" x14ac:dyDescent="0.3">
      <c r="A199" s="9">
        <v>197</v>
      </c>
      <c r="B199" s="9" t="s">
        <v>444</v>
      </c>
      <c r="C199" s="9" t="s">
        <v>445</v>
      </c>
      <c r="D199" s="9" t="s">
        <v>353</v>
      </c>
      <c r="E199" s="15">
        <v>46113</v>
      </c>
      <c r="F199" s="15">
        <v>46266</v>
      </c>
      <c r="G199" s="11">
        <v>1400</v>
      </c>
      <c r="H199" s="12">
        <v>1400</v>
      </c>
      <c r="I199" s="13">
        <v>1</v>
      </c>
      <c r="J199" s="12">
        <f t="shared" si="22"/>
        <v>1400</v>
      </c>
      <c r="K199" s="12">
        <f t="shared" si="23"/>
        <v>77</v>
      </c>
      <c r="L199" s="12">
        <f t="shared" si="24"/>
        <v>182</v>
      </c>
      <c r="M199" s="12">
        <f t="shared" si="25"/>
        <v>1582</v>
      </c>
      <c r="N199" s="12">
        <f t="shared" si="26"/>
        <v>1323</v>
      </c>
      <c r="O199" s="12">
        <v>122.28</v>
      </c>
      <c r="P199" s="12">
        <f t="shared" si="21"/>
        <v>199.28</v>
      </c>
      <c r="Q199" s="12">
        <f t="shared" si="27"/>
        <v>1200.72</v>
      </c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</row>
    <row r="200" spans="1:83" s="19" customFormat="1" ht="20.100000000000001" customHeight="1" x14ac:dyDescent="0.3">
      <c r="A200" s="9">
        <v>198</v>
      </c>
      <c r="B200" s="9" t="s">
        <v>446</v>
      </c>
      <c r="C200" s="9" t="s">
        <v>447</v>
      </c>
      <c r="D200" s="9" t="s">
        <v>353</v>
      </c>
      <c r="E200" s="15">
        <v>46113</v>
      </c>
      <c r="F200" s="15">
        <v>46266</v>
      </c>
      <c r="G200" s="11">
        <v>1400</v>
      </c>
      <c r="H200" s="12">
        <v>1400</v>
      </c>
      <c r="I200" s="13">
        <v>1</v>
      </c>
      <c r="J200" s="12">
        <f t="shared" si="22"/>
        <v>1400</v>
      </c>
      <c r="K200" s="12">
        <f t="shared" si="23"/>
        <v>77</v>
      </c>
      <c r="L200" s="12">
        <f t="shared" si="24"/>
        <v>182</v>
      </c>
      <c r="M200" s="12">
        <f t="shared" si="25"/>
        <v>1582</v>
      </c>
      <c r="N200" s="12">
        <f t="shared" si="26"/>
        <v>1323</v>
      </c>
      <c r="O200" s="12">
        <v>122.28</v>
      </c>
      <c r="P200" s="12">
        <f t="shared" si="21"/>
        <v>199.28</v>
      </c>
      <c r="Q200" s="12">
        <f t="shared" si="27"/>
        <v>1200.72</v>
      </c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</row>
    <row r="201" spans="1:83" s="19" customFormat="1" x14ac:dyDescent="0.3">
      <c r="A201" s="9">
        <v>199</v>
      </c>
      <c r="B201" s="9" t="s">
        <v>448</v>
      </c>
      <c r="C201" s="9" t="s">
        <v>449</v>
      </c>
      <c r="D201" s="9" t="s">
        <v>353</v>
      </c>
      <c r="E201" s="15">
        <v>46113</v>
      </c>
      <c r="F201" s="15">
        <v>46266</v>
      </c>
      <c r="G201" s="11">
        <v>1400</v>
      </c>
      <c r="H201" s="12">
        <v>1400</v>
      </c>
      <c r="I201" s="13">
        <v>1</v>
      </c>
      <c r="J201" s="12">
        <f t="shared" si="22"/>
        <v>1400</v>
      </c>
      <c r="K201" s="12">
        <f t="shared" si="23"/>
        <v>77</v>
      </c>
      <c r="L201" s="12">
        <f t="shared" si="24"/>
        <v>182</v>
      </c>
      <c r="M201" s="12">
        <f t="shared" si="25"/>
        <v>1582</v>
      </c>
      <c r="N201" s="12">
        <f t="shared" si="26"/>
        <v>1323</v>
      </c>
      <c r="O201" s="12">
        <v>122.28</v>
      </c>
      <c r="P201" s="12">
        <f t="shared" si="21"/>
        <v>199.28</v>
      </c>
      <c r="Q201" s="12">
        <f t="shared" si="27"/>
        <v>1200.72</v>
      </c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</row>
    <row r="202" spans="1:83" s="9" customFormat="1" ht="20.100000000000001" customHeight="1" x14ac:dyDescent="0.3">
      <c r="A202" s="9">
        <v>200</v>
      </c>
      <c r="B202" s="9" t="s">
        <v>450</v>
      </c>
      <c r="C202" s="9" t="s">
        <v>451</v>
      </c>
      <c r="D202" s="9" t="s">
        <v>353</v>
      </c>
      <c r="E202" s="15">
        <v>46113</v>
      </c>
      <c r="F202" s="15">
        <v>46266</v>
      </c>
      <c r="G202" s="11">
        <v>1400</v>
      </c>
      <c r="H202" s="12">
        <v>1400</v>
      </c>
      <c r="I202" s="13">
        <v>1</v>
      </c>
      <c r="J202" s="12">
        <f t="shared" si="22"/>
        <v>1400</v>
      </c>
      <c r="K202" s="12">
        <f t="shared" si="23"/>
        <v>77</v>
      </c>
      <c r="L202" s="12">
        <f t="shared" si="24"/>
        <v>182</v>
      </c>
      <c r="M202" s="12">
        <f t="shared" si="25"/>
        <v>1582</v>
      </c>
      <c r="N202" s="12">
        <f t="shared" si="26"/>
        <v>1323</v>
      </c>
      <c r="O202" s="12">
        <v>122.28</v>
      </c>
      <c r="P202" s="12">
        <f t="shared" si="21"/>
        <v>199.28</v>
      </c>
      <c r="Q202" s="12">
        <f t="shared" si="27"/>
        <v>1200.72</v>
      </c>
    </row>
    <row r="203" spans="1:83" s="9" customFormat="1" ht="20.100000000000001" customHeight="1" x14ac:dyDescent="0.3">
      <c r="A203" s="9">
        <v>201</v>
      </c>
      <c r="B203" s="9" t="s">
        <v>452</v>
      </c>
      <c r="C203" s="9" t="s">
        <v>453</v>
      </c>
      <c r="D203" s="9" t="s">
        <v>353</v>
      </c>
      <c r="E203" s="10">
        <v>46113</v>
      </c>
      <c r="F203" s="10">
        <v>46295</v>
      </c>
      <c r="G203" s="11">
        <v>1400</v>
      </c>
      <c r="H203" s="12">
        <v>1400</v>
      </c>
      <c r="I203" s="13">
        <v>1</v>
      </c>
      <c r="J203" s="12">
        <f t="shared" si="22"/>
        <v>1400</v>
      </c>
      <c r="K203" s="12">
        <f t="shared" si="23"/>
        <v>77</v>
      </c>
      <c r="L203" s="12">
        <f t="shared" si="24"/>
        <v>182</v>
      </c>
      <c r="M203" s="12">
        <f t="shared" si="25"/>
        <v>1582</v>
      </c>
      <c r="N203" s="12">
        <f t="shared" si="26"/>
        <v>1323</v>
      </c>
      <c r="O203" s="12">
        <v>122.28</v>
      </c>
      <c r="P203" s="12">
        <f t="shared" si="21"/>
        <v>199.28</v>
      </c>
      <c r="Q203" s="12">
        <f t="shared" si="27"/>
        <v>1200.72</v>
      </c>
    </row>
    <row r="204" spans="1:83" s="16" customFormat="1" ht="20.100000000000001" customHeight="1" x14ac:dyDescent="0.3">
      <c r="A204" s="9">
        <v>202</v>
      </c>
      <c r="B204" s="9" t="s">
        <v>454</v>
      </c>
      <c r="C204" s="9" t="s">
        <v>455</v>
      </c>
      <c r="D204" s="9" t="s">
        <v>23</v>
      </c>
      <c r="E204" s="10">
        <v>46143</v>
      </c>
      <c r="F204" s="10">
        <v>46325</v>
      </c>
      <c r="G204" s="11">
        <v>1400</v>
      </c>
      <c r="H204" s="12">
        <v>1400</v>
      </c>
      <c r="I204" s="13">
        <v>1</v>
      </c>
      <c r="J204" s="12">
        <f t="shared" si="22"/>
        <v>1400</v>
      </c>
      <c r="K204" s="12">
        <f t="shared" si="23"/>
        <v>77</v>
      </c>
      <c r="L204" s="12">
        <f t="shared" si="24"/>
        <v>182</v>
      </c>
      <c r="M204" s="12">
        <f t="shared" si="25"/>
        <v>1582</v>
      </c>
      <c r="N204" s="12">
        <f t="shared" si="26"/>
        <v>1323</v>
      </c>
      <c r="O204" s="12">
        <v>122.28</v>
      </c>
      <c r="P204" s="12">
        <f t="shared" si="21"/>
        <v>199.28</v>
      </c>
      <c r="Q204" s="12">
        <f t="shared" si="27"/>
        <v>1200.72</v>
      </c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</row>
    <row r="205" spans="1:83" s="9" customFormat="1" ht="20.100000000000001" customHeight="1" x14ac:dyDescent="0.3">
      <c r="A205" s="9">
        <v>203</v>
      </c>
      <c r="B205" s="9" t="s">
        <v>456</v>
      </c>
      <c r="C205" s="9" t="s">
        <v>457</v>
      </c>
      <c r="D205" s="9" t="s">
        <v>87</v>
      </c>
      <c r="E205" s="10">
        <v>46143</v>
      </c>
      <c r="F205" s="10">
        <v>46325</v>
      </c>
      <c r="G205" s="11">
        <v>2500</v>
      </c>
      <c r="H205" s="12">
        <v>2500</v>
      </c>
      <c r="I205" s="13">
        <v>1</v>
      </c>
      <c r="J205" s="12">
        <f t="shared" si="22"/>
        <v>2500</v>
      </c>
      <c r="K205" s="12">
        <f t="shared" si="23"/>
        <v>137.5</v>
      </c>
      <c r="L205" s="12">
        <f t="shared" si="24"/>
        <v>325</v>
      </c>
      <c r="M205" s="12">
        <f t="shared" si="25"/>
        <v>2825</v>
      </c>
      <c r="N205" s="12">
        <f t="shared" si="26"/>
        <v>2362.5</v>
      </c>
      <c r="O205" s="12">
        <v>304.19</v>
      </c>
      <c r="P205" s="12">
        <f t="shared" si="21"/>
        <v>441.69</v>
      </c>
      <c r="Q205" s="12">
        <f t="shared" si="27"/>
        <v>2058.31</v>
      </c>
    </row>
    <row r="206" spans="1:83" s="19" customFormat="1" ht="20.100000000000001" customHeight="1" x14ac:dyDescent="0.3">
      <c r="A206" s="9">
        <v>204</v>
      </c>
      <c r="B206" s="9" t="s">
        <v>458</v>
      </c>
      <c r="C206" s="9" t="s">
        <v>459</v>
      </c>
      <c r="D206" s="9" t="s">
        <v>460</v>
      </c>
      <c r="E206" s="10">
        <v>46113</v>
      </c>
      <c r="F206" s="10">
        <v>46295</v>
      </c>
      <c r="G206" s="11">
        <v>1400</v>
      </c>
      <c r="H206" s="12">
        <v>1400</v>
      </c>
      <c r="I206" s="13">
        <v>1</v>
      </c>
      <c r="J206" s="12">
        <f t="shared" si="22"/>
        <v>1400</v>
      </c>
      <c r="K206" s="12">
        <f t="shared" si="23"/>
        <v>77</v>
      </c>
      <c r="L206" s="12">
        <f t="shared" si="24"/>
        <v>182</v>
      </c>
      <c r="M206" s="12">
        <f t="shared" si="25"/>
        <v>1582</v>
      </c>
      <c r="N206" s="12">
        <f t="shared" si="26"/>
        <v>1323</v>
      </c>
      <c r="O206" s="12">
        <v>122.28</v>
      </c>
      <c r="P206" s="12">
        <f t="shared" si="21"/>
        <v>199.28</v>
      </c>
      <c r="Q206" s="12">
        <f t="shared" si="27"/>
        <v>1200.72</v>
      </c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</row>
    <row r="207" spans="1:83" s="9" customFormat="1" ht="20.100000000000001" customHeight="1" x14ac:dyDescent="0.3">
      <c r="A207" s="9">
        <v>205</v>
      </c>
      <c r="B207" s="9" t="s">
        <v>461</v>
      </c>
      <c r="C207" s="9" t="s">
        <v>462</v>
      </c>
      <c r="D207" s="9" t="s">
        <v>233</v>
      </c>
      <c r="E207" s="10">
        <v>46143</v>
      </c>
      <c r="F207" s="10">
        <v>46325</v>
      </c>
      <c r="G207" s="11">
        <v>1400</v>
      </c>
      <c r="H207" s="12">
        <v>1400</v>
      </c>
      <c r="I207" s="13">
        <v>1</v>
      </c>
      <c r="J207" s="12">
        <f t="shared" si="22"/>
        <v>1400</v>
      </c>
      <c r="K207" s="12">
        <f t="shared" si="23"/>
        <v>77</v>
      </c>
      <c r="L207" s="12">
        <f t="shared" si="24"/>
        <v>182</v>
      </c>
      <c r="M207" s="12">
        <f t="shared" si="25"/>
        <v>1582</v>
      </c>
      <c r="N207" s="12">
        <f t="shared" si="26"/>
        <v>1323</v>
      </c>
      <c r="O207" s="12">
        <v>122.28</v>
      </c>
      <c r="P207" s="12">
        <f t="shared" si="21"/>
        <v>199.28</v>
      </c>
      <c r="Q207" s="12">
        <f t="shared" si="27"/>
        <v>1200.72</v>
      </c>
    </row>
    <row r="208" spans="1:83" s="16" customFormat="1" ht="20.100000000000001" customHeight="1" x14ac:dyDescent="0.3">
      <c r="A208" s="9">
        <v>206</v>
      </c>
      <c r="B208" s="9" t="s">
        <v>463</v>
      </c>
      <c r="C208" s="9" t="s">
        <v>464</v>
      </c>
      <c r="D208" s="9" t="s">
        <v>233</v>
      </c>
      <c r="E208" s="10">
        <v>46143</v>
      </c>
      <c r="F208" s="10">
        <v>46325</v>
      </c>
      <c r="G208" s="11">
        <v>1400</v>
      </c>
      <c r="H208" s="12">
        <v>1400</v>
      </c>
      <c r="I208" s="13">
        <v>1</v>
      </c>
      <c r="J208" s="12">
        <f t="shared" si="22"/>
        <v>1400</v>
      </c>
      <c r="K208" s="12">
        <f t="shared" si="23"/>
        <v>77</v>
      </c>
      <c r="L208" s="12">
        <f t="shared" si="24"/>
        <v>182</v>
      </c>
      <c r="M208" s="12">
        <f t="shared" si="25"/>
        <v>1582</v>
      </c>
      <c r="N208" s="12">
        <f t="shared" si="26"/>
        <v>1323</v>
      </c>
      <c r="O208" s="12">
        <v>122.28</v>
      </c>
      <c r="P208" s="12">
        <f t="shared" si="21"/>
        <v>199.28</v>
      </c>
      <c r="Q208" s="12">
        <f t="shared" si="27"/>
        <v>1200.72</v>
      </c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</row>
    <row r="209" spans="1:17" s="9" customFormat="1" ht="20.100000000000001" customHeight="1" x14ac:dyDescent="0.3">
      <c r="A209" s="9">
        <v>207</v>
      </c>
      <c r="B209" s="9" t="s">
        <v>465</v>
      </c>
      <c r="C209" s="9" t="s">
        <v>466</v>
      </c>
      <c r="D209" s="9" t="s">
        <v>87</v>
      </c>
      <c r="E209" s="10">
        <v>46174</v>
      </c>
      <c r="F209" s="10">
        <v>46356</v>
      </c>
      <c r="G209" s="11">
        <v>1400</v>
      </c>
      <c r="H209" s="12">
        <v>1400</v>
      </c>
      <c r="I209" s="13">
        <v>1</v>
      </c>
      <c r="J209" s="12">
        <f t="shared" si="22"/>
        <v>1400</v>
      </c>
      <c r="K209" s="12">
        <f t="shared" si="23"/>
        <v>77</v>
      </c>
      <c r="L209" s="12">
        <f t="shared" si="24"/>
        <v>182</v>
      </c>
      <c r="M209" s="12">
        <f t="shared" si="25"/>
        <v>1582</v>
      </c>
      <c r="N209" s="12">
        <f t="shared" si="26"/>
        <v>1323</v>
      </c>
      <c r="O209" s="12">
        <v>122.28</v>
      </c>
      <c r="P209" s="12">
        <f t="shared" si="21"/>
        <v>199.28</v>
      </c>
      <c r="Q209" s="12">
        <f t="shared" si="27"/>
        <v>1200.72</v>
      </c>
    </row>
    <row r="210" spans="1:17" s="9" customFormat="1" ht="20.100000000000001" customHeight="1" x14ac:dyDescent="0.3">
      <c r="A210" s="9">
        <v>208</v>
      </c>
      <c r="B210" s="9" t="s">
        <v>467</v>
      </c>
      <c r="C210" s="9" t="s">
        <v>468</v>
      </c>
      <c r="D210" s="9" t="s">
        <v>23</v>
      </c>
      <c r="E210" s="10">
        <v>46174</v>
      </c>
      <c r="F210" s="10">
        <v>46356</v>
      </c>
      <c r="G210" s="11">
        <v>1400</v>
      </c>
      <c r="H210" s="12">
        <v>1400</v>
      </c>
      <c r="I210" s="13">
        <v>1</v>
      </c>
      <c r="J210" s="12">
        <f t="shared" si="22"/>
        <v>1400</v>
      </c>
      <c r="K210" s="12">
        <f t="shared" si="23"/>
        <v>77</v>
      </c>
      <c r="L210" s="12">
        <f t="shared" si="24"/>
        <v>182</v>
      </c>
      <c r="M210" s="12">
        <f t="shared" si="25"/>
        <v>1582</v>
      </c>
      <c r="N210" s="12">
        <f t="shared" si="26"/>
        <v>1323</v>
      </c>
      <c r="O210" s="12">
        <v>122.28</v>
      </c>
      <c r="P210" s="12">
        <f t="shared" si="21"/>
        <v>199.28</v>
      </c>
      <c r="Q210" s="12">
        <f t="shared" si="27"/>
        <v>1200.72</v>
      </c>
    </row>
    <row r="211" spans="1:17" s="9" customFormat="1" ht="20.100000000000001" customHeight="1" x14ac:dyDescent="0.3">
      <c r="A211" s="9">
        <v>209</v>
      </c>
      <c r="B211" s="9" t="s">
        <v>469</v>
      </c>
      <c r="C211" s="9" t="s">
        <v>470</v>
      </c>
      <c r="D211" s="9" t="s">
        <v>124</v>
      </c>
      <c r="E211" s="10">
        <v>46143</v>
      </c>
      <c r="F211" s="10">
        <v>46325</v>
      </c>
      <c r="G211" s="11">
        <v>1400</v>
      </c>
      <c r="H211" s="12">
        <v>1400</v>
      </c>
      <c r="I211" s="13">
        <v>1</v>
      </c>
      <c r="J211" s="12">
        <f t="shared" si="22"/>
        <v>1400</v>
      </c>
      <c r="K211" s="12">
        <f t="shared" si="23"/>
        <v>77</v>
      </c>
      <c r="L211" s="12">
        <f t="shared" si="24"/>
        <v>182</v>
      </c>
      <c r="M211" s="12">
        <f t="shared" si="25"/>
        <v>1582</v>
      </c>
      <c r="N211" s="12">
        <f t="shared" si="26"/>
        <v>1323</v>
      </c>
      <c r="O211" s="12">
        <v>122.28</v>
      </c>
      <c r="P211" s="12">
        <f t="shared" si="21"/>
        <v>199.28</v>
      </c>
      <c r="Q211" s="12">
        <f t="shared" si="27"/>
        <v>1200.72</v>
      </c>
    </row>
    <row r="212" spans="1:17" s="9" customFormat="1" ht="22.9" customHeight="1" x14ac:dyDescent="0.3">
      <c r="A212" s="9">
        <v>210</v>
      </c>
      <c r="B212" s="9" t="s">
        <v>471</v>
      </c>
      <c r="C212" s="9" t="s">
        <v>472</v>
      </c>
      <c r="D212" s="9" t="s">
        <v>124</v>
      </c>
      <c r="E212" s="10">
        <v>46143</v>
      </c>
      <c r="F212" s="10">
        <v>46325</v>
      </c>
      <c r="G212" s="11">
        <v>1400</v>
      </c>
      <c r="H212" s="12">
        <v>1400</v>
      </c>
      <c r="I212" s="13">
        <v>1</v>
      </c>
      <c r="J212" s="12">
        <f t="shared" si="22"/>
        <v>1400</v>
      </c>
      <c r="K212" s="12">
        <f t="shared" si="23"/>
        <v>77</v>
      </c>
      <c r="L212" s="12">
        <f t="shared" si="24"/>
        <v>182</v>
      </c>
      <c r="M212" s="12">
        <f t="shared" si="25"/>
        <v>1582</v>
      </c>
      <c r="N212" s="12">
        <f t="shared" si="26"/>
        <v>1323</v>
      </c>
      <c r="O212" s="12">
        <v>122.28</v>
      </c>
      <c r="P212" s="12">
        <f t="shared" si="21"/>
        <v>199.28</v>
      </c>
      <c r="Q212" s="12">
        <f t="shared" si="27"/>
        <v>1200.72</v>
      </c>
    </row>
    <row r="213" spans="1:17" s="9" customFormat="1" ht="20.100000000000001" customHeight="1" x14ac:dyDescent="0.3">
      <c r="A213" s="9">
        <v>211</v>
      </c>
      <c r="B213" s="9" t="s">
        <v>473</v>
      </c>
      <c r="C213" s="9" t="s">
        <v>474</v>
      </c>
      <c r="D213" s="9" t="s">
        <v>296</v>
      </c>
      <c r="E213" s="10">
        <v>46174</v>
      </c>
      <c r="F213" s="10">
        <v>46356</v>
      </c>
      <c r="G213" s="11">
        <v>1400</v>
      </c>
      <c r="H213" s="12">
        <v>1400</v>
      </c>
      <c r="I213" s="13">
        <v>1</v>
      </c>
      <c r="J213" s="12">
        <f t="shared" si="22"/>
        <v>1400</v>
      </c>
      <c r="K213" s="12">
        <f t="shared" si="23"/>
        <v>77</v>
      </c>
      <c r="L213" s="12">
        <f t="shared" si="24"/>
        <v>182</v>
      </c>
      <c r="M213" s="12">
        <f t="shared" si="25"/>
        <v>1582</v>
      </c>
      <c r="N213" s="12">
        <f t="shared" si="26"/>
        <v>1323</v>
      </c>
      <c r="O213" s="12">
        <v>122.28</v>
      </c>
      <c r="P213" s="12">
        <f t="shared" si="21"/>
        <v>199.28</v>
      </c>
      <c r="Q213" s="12">
        <f t="shared" si="27"/>
        <v>1200.72</v>
      </c>
    </row>
    <row r="214" spans="1:17" s="9" customFormat="1" ht="20.100000000000001" customHeight="1" x14ac:dyDescent="0.3">
      <c r="A214" s="9">
        <v>212</v>
      </c>
      <c r="B214" s="9" t="s">
        <v>475</v>
      </c>
      <c r="C214" s="9" t="s">
        <v>476</v>
      </c>
      <c r="D214" s="9" t="s">
        <v>277</v>
      </c>
      <c r="E214" s="10">
        <v>46174</v>
      </c>
      <c r="F214" s="10">
        <v>46356</v>
      </c>
      <c r="G214" s="11">
        <v>1400</v>
      </c>
      <c r="H214" s="12">
        <v>1400</v>
      </c>
      <c r="I214" s="13">
        <v>1</v>
      </c>
      <c r="J214" s="12">
        <f t="shared" si="22"/>
        <v>1400</v>
      </c>
      <c r="K214" s="12">
        <f t="shared" si="23"/>
        <v>77</v>
      </c>
      <c r="L214" s="12">
        <f t="shared" si="24"/>
        <v>182</v>
      </c>
      <c r="M214" s="12">
        <f t="shared" si="25"/>
        <v>1582</v>
      </c>
      <c r="N214" s="12">
        <f t="shared" si="26"/>
        <v>1323</v>
      </c>
      <c r="O214" s="12">
        <v>122.28</v>
      </c>
      <c r="P214" s="12">
        <f t="shared" si="21"/>
        <v>199.28</v>
      </c>
      <c r="Q214" s="12">
        <f t="shared" si="27"/>
        <v>1200.72</v>
      </c>
    </row>
    <row r="215" spans="1:17" s="9" customFormat="1" ht="20.100000000000001" customHeight="1" x14ac:dyDescent="0.3">
      <c r="A215" s="9">
        <v>213</v>
      </c>
      <c r="B215" s="9" t="s">
        <v>477</v>
      </c>
      <c r="C215" s="9" t="s">
        <v>478</v>
      </c>
      <c r="D215" s="9" t="s">
        <v>192</v>
      </c>
      <c r="E215" s="10">
        <v>46174</v>
      </c>
      <c r="F215" s="10">
        <v>46356</v>
      </c>
      <c r="G215" s="11">
        <v>1400</v>
      </c>
      <c r="H215" s="12">
        <v>1400</v>
      </c>
      <c r="I215" s="13">
        <v>1</v>
      </c>
      <c r="J215" s="12">
        <f t="shared" si="22"/>
        <v>1400</v>
      </c>
      <c r="K215" s="12">
        <f t="shared" si="23"/>
        <v>77</v>
      </c>
      <c r="L215" s="12">
        <f t="shared" si="24"/>
        <v>182</v>
      </c>
      <c r="M215" s="12">
        <f t="shared" si="25"/>
        <v>1582</v>
      </c>
      <c r="N215" s="12">
        <f t="shared" si="26"/>
        <v>1323</v>
      </c>
      <c r="O215" s="12">
        <v>122.28</v>
      </c>
      <c r="P215" s="12">
        <f t="shared" si="21"/>
        <v>199.28</v>
      </c>
      <c r="Q215" s="12">
        <f t="shared" si="27"/>
        <v>1200.72</v>
      </c>
    </row>
    <row r="216" spans="1:17" s="9" customFormat="1" ht="20.100000000000001" customHeight="1" x14ac:dyDescent="0.3">
      <c r="A216" s="9">
        <v>214</v>
      </c>
      <c r="B216" s="9" t="s">
        <v>479</v>
      </c>
      <c r="C216" s="9" t="s">
        <v>480</v>
      </c>
      <c r="D216" s="9" t="s">
        <v>192</v>
      </c>
      <c r="E216" s="10">
        <v>46174</v>
      </c>
      <c r="F216" s="10">
        <v>46356</v>
      </c>
      <c r="G216" s="11">
        <v>1400</v>
      </c>
      <c r="H216" s="12">
        <v>1400</v>
      </c>
      <c r="I216" s="13">
        <v>1</v>
      </c>
      <c r="J216" s="12">
        <f t="shared" si="22"/>
        <v>1400</v>
      </c>
      <c r="K216" s="12">
        <f t="shared" si="23"/>
        <v>77</v>
      </c>
      <c r="L216" s="12">
        <f t="shared" si="24"/>
        <v>182</v>
      </c>
      <c r="M216" s="12">
        <f t="shared" si="25"/>
        <v>1582</v>
      </c>
      <c r="N216" s="12">
        <f t="shared" si="26"/>
        <v>1323</v>
      </c>
      <c r="O216" s="12">
        <v>122.28</v>
      </c>
      <c r="P216" s="12">
        <f t="shared" ref="P216:P279" si="28">K216+O216</f>
        <v>199.28</v>
      </c>
      <c r="Q216" s="12">
        <f t="shared" si="27"/>
        <v>1200.72</v>
      </c>
    </row>
    <row r="217" spans="1:17" s="9" customFormat="1" ht="20.100000000000001" customHeight="1" x14ac:dyDescent="0.3">
      <c r="A217" s="9">
        <v>215</v>
      </c>
      <c r="B217" s="9" t="s">
        <v>481</v>
      </c>
      <c r="C217" s="9" t="s">
        <v>482</v>
      </c>
      <c r="D217" s="9" t="s">
        <v>483</v>
      </c>
      <c r="E217" s="10">
        <v>46143</v>
      </c>
      <c r="F217" s="10">
        <v>46325</v>
      </c>
      <c r="G217" s="11">
        <v>1400</v>
      </c>
      <c r="H217" s="12">
        <v>1400</v>
      </c>
      <c r="I217" s="13">
        <v>1</v>
      </c>
      <c r="J217" s="12">
        <f t="shared" si="22"/>
        <v>1400</v>
      </c>
      <c r="K217" s="12">
        <f t="shared" si="23"/>
        <v>77</v>
      </c>
      <c r="L217" s="12">
        <f t="shared" si="24"/>
        <v>182</v>
      </c>
      <c r="M217" s="12">
        <f t="shared" si="25"/>
        <v>1582</v>
      </c>
      <c r="N217" s="12">
        <f t="shared" si="26"/>
        <v>1323</v>
      </c>
      <c r="O217" s="12">
        <v>122.28</v>
      </c>
      <c r="P217" s="12">
        <f t="shared" si="28"/>
        <v>199.28</v>
      </c>
      <c r="Q217" s="12">
        <f t="shared" si="27"/>
        <v>1200.72</v>
      </c>
    </row>
    <row r="218" spans="1:17" s="9" customFormat="1" ht="20.100000000000001" customHeight="1" x14ac:dyDescent="0.3">
      <c r="A218" s="9">
        <v>216</v>
      </c>
      <c r="B218" s="9" t="s">
        <v>484</v>
      </c>
      <c r="C218" s="9" t="s">
        <v>485</v>
      </c>
      <c r="D218" s="9" t="s">
        <v>483</v>
      </c>
      <c r="E218" s="10">
        <v>46143</v>
      </c>
      <c r="F218" s="10">
        <v>46325</v>
      </c>
      <c r="G218" s="11">
        <v>1400</v>
      </c>
      <c r="H218" s="12">
        <v>1400</v>
      </c>
      <c r="I218" s="13">
        <v>1</v>
      </c>
      <c r="J218" s="12">
        <f t="shared" si="22"/>
        <v>1400</v>
      </c>
      <c r="K218" s="12">
        <f t="shared" si="23"/>
        <v>77</v>
      </c>
      <c r="L218" s="12">
        <f t="shared" si="24"/>
        <v>182</v>
      </c>
      <c r="M218" s="12">
        <f t="shared" si="25"/>
        <v>1582</v>
      </c>
      <c r="N218" s="12">
        <f t="shared" si="26"/>
        <v>1323</v>
      </c>
      <c r="O218" s="12">
        <v>122.28</v>
      </c>
      <c r="P218" s="12">
        <f t="shared" si="28"/>
        <v>199.28</v>
      </c>
      <c r="Q218" s="12">
        <f t="shared" si="27"/>
        <v>1200.72</v>
      </c>
    </row>
    <row r="219" spans="1:17" s="9" customFormat="1" ht="20.100000000000001" customHeight="1" x14ac:dyDescent="0.3">
      <c r="A219" s="9">
        <v>217</v>
      </c>
      <c r="B219" s="9" t="s">
        <v>486</v>
      </c>
      <c r="C219" s="9" t="s">
        <v>487</v>
      </c>
      <c r="D219" s="14" t="s">
        <v>26</v>
      </c>
      <c r="E219" s="10">
        <v>46174</v>
      </c>
      <c r="F219" s="10">
        <v>46356</v>
      </c>
      <c r="G219" s="11">
        <v>1400</v>
      </c>
      <c r="H219" s="12">
        <v>1400</v>
      </c>
      <c r="I219" s="13">
        <v>1</v>
      </c>
      <c r="J219" s="12">
        <f t="shared" si="22"/>
        <v>1400</v>
      </c>
      <c r="K219" s="12">
        <f t="shared" si="23"/>
        <v>77</v>
      </c>
      <c r="L219" s="12">
        <f t="shared" si="24"/>
        <v>182</v>
      </c>
      <c r="M219" s="12">
        <f t="shared" si="25"/>
        <v>1582</v>
      </c>
      <c r="N219" s="12">
        <f t="shared" si="26"/>
        <v>1323</v>
      </c>
      <c r="O219" s="12">
        <v>122.28</v>
      </c>
      <c r="P219" s="12">
        <f t="shared" si="28"/>
        <v>199.28</v>
      </c>
      <c r="Q219" s="12">
        <f t="shared" si="27"/>
        <v>1200.72</v>
      </c>
    </row>
    <row r="220" spans="1:17" s="9" customFormat="1" ht="20.100000000000001" customHeight="1" x14ac:dyDescent="0.3">
      <c r="A220" s="9">
        <v>218</v>
      </c>
      <c r="B220" s="9" t="s">
        <v>488</v>
      </c>
      <c r="C220" s="9" t="s">
        <v>489</v>
      </c>
      <c r="D220" s="9" t="s">
        <v>490</v>
      </c>
      <c r="E220" s="10">
        <v>46174</v>
      </c>
      <c r="F220" s="10">
        <v>46356</v>
      </c>
      <c r="G220" s="11">
        <v>1400</v>
      </c>
      <c r="H220" s="12">
        <v>1400</v>
      </c>
      <c r="I220" s="13">
        <v>1</v>
      </c>
      <c r="J220" s="12">
        <f t="shared" si="22"/>
        <v>1400</v>
      </c>
      <c r="K220" s="12">
        <f t="shared" si="23"/>
        <v>77</v>
      </c>
      <c r="L220" s="12">
        <f t="shared" si="24"/>
        <v>182</v>
      </c>
      <c r="M220" s="12">
        <f t="shared" si="25"/>
        <v>1582</v>
      </c>
      <c r="N220" s="12">
        <f t="shared" si="26"/>
        <v>1323</v>
      </c>
      <c r="O220" s="12">
        <v>122.28</v>
      </c>
      <c r="P220" s="12">
        <f t="shared" si="28"/>
        <v>199.28</v>
      </c>
      <c r="Q220" s="12">
        <f t="shared" si="27"/>
        <v>1200.72</v>
      </c>
    </row>
    <row r="221" spans="1:17" s="9" customFormat="1" ht="20.100000000000001" customHeight="1" x14ac:dyDescent="0.3">
      <c r="A221" s="9">
        <v>219</v>
      </c>
      <c r="B221" s="9" t="s">
        <v>491</v>
      </c>
      <c r="C221" s="9" t="s">
        <v>492</v>
      </c>
      <c r="D221" s="9" t="s">
        <v>493</v>
      </c>
      <c r="E221" s="10">
        <v>46174</v>
      </c>
      <c r="F221" s="10">
        <v>46356</v>
      </c>
      <c r="G221" s="11">
        <v>1400</v>
      </c>
      <c r="H221" s="12">
        <v>1400</v>
      </c>
      <c r="I221" s="13">
        <v>1</v>
      </c>
      <c r="J221" s="12">
        <f t="shared" si="22"/>
        <v>1400</v>
      </c>
      <c r="K221" s="12">
        <f t="shared" si="23"/>
        <v>77</v>
      </c>
      <c r="L221" s="12">
        <f t="shared" si="24"/>
        <v>182</v>
      </c>
      <c r="M221" s="12">
        <f t="shared" si="25"/>
        <v>1582</v>
      </c>
      <c r="N221" s="12">
        <f t="shared" si="26"/>
        <v>1323</v>
      </c>
      <c r="O221" s="12">
        <v>122.28</v>
      </c>
      <c r="P221" s="12">
        <f t="shared" si="28"/>
        <v>199.28</v>
      </c>
      <c r="Q221" s="12">
        <f t="shared" si="27"/>
        <v>1200.72</v>
      </c>
    </row>
    <row r="222" spans="1:17" s="9" customFormat="1" ht="20.100000000000001" customHeight="1" x14ac:dyDescent="0.3">
      <c r="A222" s="9">
        <v>220</v>
      </c>
      <c r="B222" s="9" t="s">
        <v>494</v>
      </c>
      <c r="C222" s="9" t="s">
        <v>495</v>
      </c>
      <c r="D222" s="9" t="s">
        <v>496</v>
      </c>
      <c r="E222" s="10">
        <v>46083</v>
      </c>
      <c r="F222" s="10">
        <v>46265</v>
      </c>
      <c r="G222" s="11">
        <v>1400</v>
      </c>
      <c r="H222" s="12">
        <v>1400</v>
      </c>
      <c r="I222" s="13">
        <v>1</v>
      </c>
      <c r="J222" s="12">
        <f t="shared" si="22"/>
        <v>1400</v>
      </c>
      <c r="K222" s="12">
        <f t="shared" si="23"/>
        <v>77</v>
      </c>
      <c r="L222" s="12">
        <f t="shared" si="24"/>
        <v>182</v>
      </c>
      <c r="M222" s="12">
        <f t="shared" si="25"/>
        <v>1582</v>
      </c>
      <c r="N222" s="12">
        <f t="shared" si="26"/>
        <v>1323</v>
      </c>
      <c r="O222" s="12">
        <v>122.28</v>
      </c>
      <c r="P222" s="12">
        <f t="shared" si="28"/>
        <v>199.28</v>
      </c>
      <c r="Q222" s="12">
        <f t="shared" si="27"/>
        <v>1200.72</v>
      </c>
    </row>
    <row r="223" spans="1:17" s="9" customFormat="1" ht="20.100000000000001" customHeight="1" x14ac:dyDescent="0.3">
      <c r="A223" s="9">
        <v>221</v>
      </c>
      <c r="B223" s="9" t="s">
        <v>497</v>
      </c>
      <c r="C223" s="9" t="s">
        <v>498</v>
      </c>
      <c r="D223" s="9" t="s">
        <v>496</v>
      </c>
      <c r="E223" s="10">
        <v>46143</v>
      </c>
      <c r="F223" s="10">
        <v>46325</v>
      </c>
      <c r="G223" s="11">
        <v>1400</v>
      </c>
      <c r="H223" s="12">
        <v>1400</v>
      </c>
      <c r="I223" s="13">
        <v>1</v>
      </c>
      <c r="J223" s="12">
        <f t="shared" si="22"/>
        <v>1400</v>
      </c>
      <c r="K223" s="12">
        <f t="shared" si="23"/>
        <v>77</v>
      </c>
      <c r="L223" s="12">
        <f t="shared" si="24"/>
        <v>182</v>
      </c>
      <c r="M223" s="12">
        <f t="shared" si="25"/>
        <v>1582</v>
      </c>
      <c r="N223" s="12">
        <f t="shared" si="26"/>
        <v>1323</v>
      </c>
      <c r="O223" s="12">
        <v>122.28</v>
      </c>
      <c r="P223" s="12">
        <f t="shared" si="28"/>
        <v>199.28</v>
      </c>
      <c r="Q223" s="12">
        <f t="shared" si="27"/>
        <v>1200.72</v>
      </c>
    </row>
    <row r="224" spans="1:17" s="9" customFormat="1" ht="18.75" customHeight="1" x14ac:dyDescent="0.3">
      <c r="A224" s="9">
        <v>222</v>
      </c>
      <c r="B224" s="9" t="s">
        <v>499</v>
      </c>
      <c r="C224" s="9" t="s">
        <v>500</v>
      </c>
      <c r="D224" s="9" t="s">
        <v>496</v>
      </c>
      <c r="E224" s="10">
        <v>46143</v>
      </c>
      <c r="F224" s="10">
        <v>46325</v>
      </c>
      <c r="G224" s="11">
        <v>1400</v>
      </c>
      <c r="H224" s="12">
        <v>1400</v>
      </c>
      <c r="I224" s="13">
        <v>1</v>
      </c>
      <c r="J224" s="12">
        <f t="shared" si="22"/>
        <v>1400</v>
      </c>
      <c r="K224" s="12">
        <f t="shared" si="23"/>
        <v>77</v>
      </c>
      <c r="L224" s="12">
        <f t="shared" si="24"/>
        <v>182</v>
      </c>
      <c r="M224" s="12">
        <f t="shared" si="25"/>
        <v>1582</v>
      </c>
      <c r="N224" s="12">
        <f t="shared" si="26"/>
        <v>1323</v>
      </c>
      <c r="O224" s="12">
        <v>122.28</v>
      </c>
      <c r="P224" s="12">
        <f t="shared" si="28"/>
        <v>199.28</v>
      </c>
      <c r="Q224" s="12">
        <f t="shared" si="27"/>
        <v>1200.72</v>
      </c>
    </row>
    <row r="225" spans="1:83" s="19" customFormat="1" ht="20.100000000000001" customHeight="1" x14ac:dyDescent="0.3">
      <c r="A225" s="9">
        <v>223</v>
      </c>
      <c r="B225" s="9" t="s">
        <v>501</v>
      </c>
      <c r="C225" s="9" t="s">
        <v>502</v>
      </c>
      <c r="D225" s="22" t="s">
        <v>503</v>
      </c>
      <c r="E225" s="10">
        <v>46174</v>
      </c>
      <c r="F225" s="10">
        <v>46356</v>
      </c>
      <c r="G225" s="11">
        <v>1400</v>
      </c>
      <c r="H225" s="12">
        <v>1400</v>
      </c>
      <c r="I225" s="13">
        <v>1</v>
      </c>
      <c r="J225" s="12">
        <f t="shared" si="22"/>
        <v>1400</v>
      </c>
      <c r="K225" s="12">
        <f t="shared" si="23"/>
        <v>77</v>
      </c>
      <c r="L225" s="12">
        <f t="shared" si="24"/>
        <v>182</v>
      </c>
      <c r="M225" s="12">
        <f t="shared" si="25"/>
        <v>1582</v>
      </c>
      <c r="N225" s="12">
        <f t="shared" si="26"/>
        <v>1323</v>
      </c>
      <c r="O225" s="12">
        <v>122.28</v>
      </c>
      <c r="P225" s="12">
        <f t="shared" si="28"/>
        <v>199.28</v>
      </c>
      <c r="Q225" s="12">
        <f t="shared" si="27"/>
        <v>1200.72</v>
      </c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</row>
    <row r="226" spans="1:83" s="9" customFormat="1" ht="20.100000000000001" customHeight="1" x14ac:dyDescent="0.3">
      <c r="A226" s="9">
        <v>224</v>
      </c>
      <c r="B226" s="9" t="s">
        <v>504</v>
      </c>
      <c r="C226" s="22" t="s">
        <v>505</v>
      </c>
      <c r="D226" s="22" t="s">
        <v>503</v>
      </c>
      <c r="E226" s="10">
        <v>46174</v>
      </c>
      <c r="F226" s="10">
        <v>46356</v>
      </c>
      <c r="G226" s="11">
        <v>1400</v>
      </c>
      <c r="H226" s="12">
        <v>1400</v>
      </c>
      <c r="I226" s="13">
        <v>1</v>
      </c>
      <c r="J226" s="12">
        <f t="shared" si="22"/>
        <v>1400</v>
      </c>
      <c r="K226" s="12">
        <f t="shared" si="23"/>
        <v>77</v>
      </c>
      <c r="L226" s="12">
        <f t="shared" si="24"/>
        <v>182</v>
      </c>
      <c r="M226" s="12">
        <f t="shared" si="25"/>
        <v>1582</v>
      </c>
      <c r="N226" s="12">
        <f t="shared" si="26"/>
        <v>1323</v>
      </c>
      <c r="O226" s="12">
        <v>122.28</v>
      </c>
      <c r="P226" s="12">
        <f t="shared" si="28"/>
        <v>199.28</v>
      </c>
      <c r="Q226" s="12">
        <f t="shared" si="27"/>
        <v>1200.72</v>
      </c>
    </row>
    <row r="227" spans="1:83" s="19" customFormat="1" ht="20.100000000000001" customHeight="1" x14ac:dyDescent="0.3">
      <c r="A227" s="9">
        <v>225</v>
      </c>
      <c r="B227" s="9" t="s">
        <v>506</v>
      </c>
      <c r="C227" s="9" t="s">
        <v>507</v>
      </c>
      <c r="D227" s="22" t="s">
        <v>503</v>
      </c>
      <c r="E227" s="10">
        <v>46174</v>
      </c>
      <c r="F227" s="10">
        <v>46356</v>
      </c>
      <c r="G227" s="11">
        <v>1400</v>
      </c>
      <c r="H227" s="12">
        <v>1400</v>
      </c>
      <c r="I227" s="13">
        <v>1</v>
      </c>
      <c r="J227" s="12">
        <f t="shared" si="22"/>
        <v>1400</v>
      </c>
      <c r="K227" s="12">
        <f t="shared" si="23"/>
        <v>77</v>
      </c>
      <c r="L227" s="12">
        <f t="shared" si="24"/>
        <v>182</v>
      </c>
      <c r="M227" s="12">
        <f t="shared" si="25"/>
        <v>1582</v>
      </c>
      <c r="N227" s="12">
        <f t="shared" si="26"/>
        <v>1323</v>
      </c>
      <c r="O227" s="12">
        <v>122.28</v>
      </c>
      <c r="P227" s="12">
        <f t="shared" si="28"/>
        <v>199.28</v>
      </c>
      <c r="Q227" s="12">
        <f t="shared" si="27"/>
        <v>1200.72</v>
      </c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</row>
    <row r="228" spans="1:83" s="16" customFormat="1" ht="20.100000000000001" customHeight="1" x14ac:dyDescent="0.3">
      <c r="A228" s="9">
        <v>226</v>
      </c>
      <c r="B228" s="9" t="s">
        <v>508</v>
      </c>
      <c r="C228" s="9" t="s">
        <v>509</v>
      </c>
      <c r="D228" s="9" t="s">
        <v>353</v>
      </c>
      <c r="E228" s="10">
        <v>46174</v>
      </c>
      <c r="F228" s="10">
        <v>46356</v>
      </c>
      <c r="G228" s="11">
        <v>1400</v>
      </c>
      <c r="H228" s="12">
        <v>1400</v>
      </c>
      <c r="I228" s="13">
        <v>1</v>
      </c>
      <c r="J228" s="12">
        <f t="shared" si="22"/>
        <v>1400</v>
      </c>
      <c r="K228" s="12">
        <f t="shared" si="23"/>
        <v>77</v>
      </c>
      <c r="L228" s="12">
        <f t="shared" si="24"/>
        <v>182</v>
      </c>
      <c r="M228" s="12">
        <f t="shared" si="25"/>
        <v>1582</v>
      </c>
      <c r="N228" s="12">
        <f t="shared" si="26"/>
        <v>1323</v>
      </c>
      <c r="O228" s="12">
        <v>122.28</v>
      </c>
      <c r="P228" s="12">
        <f t="shared" si="28"/>
        <v>199.28</v>
      </c>
      <c r="Q228" s="12">
        <f t="shared" si="27"/>
        <v>1200.72</v>
      </c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</row>
    <row r="229" spans="1:83" s="9" customFormat="1" ht="20.100000000000001" customHeight="1" x14ac:dyDescent="0.3">
      <c r="A229" s="9">
        <v>227</v>
      </c>
      <c r="B229" s="9" t="s">
        <v>510</v>
      </c>
      <c r="C229" s="9" t="s">
        <v>511</v>
      </c>
      <c r="D229" s="22" t="s">
        <v>116</v>
      </c>
      <c r="E229" s="10">
        <v>46174</v>
      </c>
      <c r="F229" s="10">
        <v>46356</v>
      </c>
      <c r="G229" s="11">
        <v>1400</v>
      </c>
      <c r="H229" s="12">
        <v>1400</v>
      </c>
      <c r="I229" s="13">
        <v>1</v>
      </c>
      <c r="J229" s="12">
        <f t="shared" si="22"/>
        <v>1400</v>
      </c>
      <c r="K229" s="12">
        <f t="shared" si="23"/>
        <v>77</v>
      </c>
      <c r="L229" s="12">
        <f t="shared" si="24"/>
        <v>182</v>
      </c>
      <c r="M229" s="12">
        <f t="shared" si="25"/>
        <v>1582</v>
      </c>
      <c r="N229" s="12">
        <f t="shared" si="26"/>
        <v>1323</v>
      </c>
      <c r="O229" s="12">
        <v>122.28</v>
      </c>
      <c r="P229" s="12">
        <f t="shared" si="28"/>
        <v>199.28</v>
      </c>
      <c r="Q229" s="12">
        <f t="shared" si="27"/>
        <v>1200.72</v>
      </c>
    </row>
    <row r="230" spans="1:83" s="9" customFormat="1" ht="20.100000000000001" customHeight="1" x14ac:dyDescent="0.3">
      <c r="A230" s="9">
        <v>228</v>
      </c>
      <c r="B230" s="9" t="s">
        <v>512</v>
      </c>
      <c r="C230" s="9" t="s">
        <v>513</v>
      </c>
      <c r="D230" s="22" t="s">
        <v>116</v>
      </c>
      <c r="E230" s="10">
        <v>46174</v>
      </c>
      <c r="F230" s="10">
        <v>46356</v>
      </c>
      <c r="G230" s="11">
        <v>1400</v>
      </c>
      <c r="H230" s="12">
        <v>1400</v>
      </c>
      <c r="I230" s="13">
        <v>1</v>
      </c>
      <c r="J230" s="12">
        <f t="shared" si="22"/>
        <v>1400</v>
      </c>
      <c r="K230" s="12">
        <f t="shared" si="23"/>
        <v>77</v>
      </c>
      <c r="L230" s="12">
        <f t="shared" si="24"/>
        <v>182</v>
      </c>
      <c r="M230" s="12">
        <f t="shared" si="25"/>
        <v>1582</v>
      </c>
      <c r="N230" s="12">
        <f t="shared" si="26"/>
        <v>1323</v>
      </c>
      <c r="O230" s="12">
        <v>122.28</v>
      </c>
      <c r="P230" s="12">
        <f t="shared" si="28"/>
        <v>199.28</v>
      </c>
      <c r="Q230" s="12">
        <f t="shared" si="27"/>
        <v>1200.72</v>
      </c>
    </row>
    <row r="231" spans="1:83" s="9" customFormat="1" ht="20.100000000000001" customHeight="1" x14ac:dyDescent="0.3">
      <c r="A231" s="9">
        <v>229</v>
      </c>
      <c r="B231" s="9" t="s">
        <v>514</v>
      </c>
      <c r="C231" s="17" t="s">
        <v>515</v>
      </c>
      <c r="D231" s="22" t="s">
        <v>42</v>
      </c>
      <c r="E231" s="10">
        <v>46143</v>
      </c>
      <c r="F231" s="10">
        <v>46325</v>
      </c>
      <c r="G231" s="11">
        <v>1400</v>
      </c>
      <c r="H231" s="12">
        <v>1400</v>
      </c>
      <c r="I231" s="13">
        <v>1</v>
      </c>
      <c r="J231" s="12">
        <f t="shared" si="22"/>
        <v>1400</v>
      </c>
      <c r="K231" s="12">
        <f t="shared" si="23"/>
        <v>77</v>
      </c>
      <c r="L231" s="12">
        <f t="shared" si="24"/>
        <v>182</v>
      </c>
      <c r="M231" s="12">
        <f t="shared" si="25"/>
        <v>1582</v>
      </c>
      <c r="N231" s="12">
        <f t="shared" si="26"/>
        <v>1323</v>
      </c>
      <c r="O231" s="12">
        <v>122.28</v>
      </c>
      <c r="P231" s="12">
        <f t="shared" si="28"/>
        <v>199.28</v>
      </c>
      <c r="Q231" s="12">
        <f t="shared" si="27"/>
        <v>1200.72</v>
      </c>
    </row>
    <row r="232" spans="1:83" s="9" customFormat="1" ht="20.100000000000001" customHeight="1" x14ac:dyDescent="0.3">
      <c r="A232" s="9">
        <v>230</v>
      </c>
      <c r="B232" s="9" t="s">
        <v>516</v>
      </c>
      <c r="C232" s="9" t="s">
        <v>517</v>
      </c>
      <c r="D232" s="9" t="s">
        <v>87</v>
      </c>
      <c r="E232" s="10">
        <v>46174</v>
      </c>
      <c r="F232" s="10">
        <v>46356</v>
      </c>
      <c r="G232" s="11">
        <v>1400</v>
      </c>
      <c r="H232" s="12">
        <v>1400</v>
      </c>
      <c r="I232" s="13">
        <v>1</v>
      </c>
      <c r="J232" s="12">
        <f t="shared" si="22"/>
        <v>1400</v>
      </c>
      <c r="K232" s="12">
        <f t="shared" si="23"/>
        <v>77</v>
      </c>
      <c r="L232" s="12">
        <f t="shared" si="24"/>
        <v>182</v>
      </c>
      <c r="M232" s="12">
        <f t="shared" si="25"/>
        <v>1582</v>
      </c>
      <c r="N232" s="12">
        <f t="shared" si="26"/>
        <v>1323</v>
      </c>
      <c r="O232" s="12">
        <v>122.28</v>
      </c>
      <c r="P232" s="12">
        <f t="shared" si="28"/>
        <v>199.28</v>
      </c>
      <c r="Q232" s="12">
        <f t="shared" si="27"/>
        <v>1200.72</v>
      </c>
    </row>
    <row r="233" spans="1:83" s="9" customFormat="1" ht="20.100000000000001" customHeight="1" x14ac:dyDescent="0.3">
      <c r="A233" s="9">
        <v>231</v>
      </c>
      <c r="B233" s="9" t="s">
        <v>518</v>
      </c>
      <c r="C233" s="9" t="s">
        <v>519</v>
      </c>
      <c r="D233" s="9" t="s">
        <v>87</v>
      </c>
      <c r="E233" s="10">
        <v>46174</v>
      </c>
      <c r="F233" s="10">
        <v>46356</v>
      </c>
      <c r="G233" s="11">
        <v>1400</v>
      </c>
      <c r="H233" s="12">
        <v>1400</v>
      </c>
      <c r="I233" s="13">
        <v>1</v>
      </c>
      <c r="J233" s="12">
        <f t="shared" si="22"/>
        <v>1400</v>
      </c>
      <c r="K233" s="12">
        <f t="shared" si="23"/>
        <v>77</v>
      </c>
      <c r="L233" s="12">
        <f t="shared" si="24"/>
        <v>182</v>
      </c>
      <c r="M233" s="12">
        <f t="shared" si="25"/>
        <v>1582</v>
      </c>
      <c r="N233" s="12">
        <f t="shared" si="26"/>
        <v>1323</v>
      </c>
      <c r="O233" s="12">
        <v>122.28</v>
      </c>
      <c r="P233" s="12">
        <f t="shared" si="28"/>
        <v>199.28</v>
      </c>
      <c r="Q233" s="12">
        <f t="shared" si="27"/>
        <v>1200.72</v>
      </c>
    </row>
    <row r="234" spans="1:83" s="9" customFormat="1" ht="20.100000000000001" customHeight="1" x14ac:dyDescent="0.3">
      <c r="A234" s="9">
        <v>232</v>
      </c>
      <c r="B234" s="9" t="s">
        <v>520</v>
      </c>
      <c r="C234" s="9" t="s">
        <v>521</v>
      </c>
      <c r="D234" s="9" t="s">
        <v>320</v>
      </c>
      <c r="E234" s="15">
        <v>46113</v>
      </c>
      <c r="F234" s="15">
        <v>46295</v>
      </c>
      <c r="G234" s="11">
        <v>1400</v>
      </c>
      <c r="H234" s="12">
        <v>1400</v>
      </c>
      <c r="I234" s="13">
        <v>1</v>
      </c>
      <c r="J234" s="12">
        <f t="shared" si="22"/>
        <v>1400</v>
      </c>
      <c r="K234" s="12">
        <f t="shared" si="23"/>
        <v>77</v>
      </c>
      <c r="L234" s="12">
        <f t="shared" si="24"/>
        <v>182</v>
      </c>
      <c r="M234" s="12">
        <f t="shared" si="25"/>
        <v>1582</v>
      </c>
      <c r="N234" s="12">
        <f t="shared" si="26"/>
        <v>1323</v>
      </c>
      <c r="O234" s="12">
        <v>122.28</v>
      </c>
      <c r="P234" s="12">
        <f t="shared" si="28"/>
        <v>199.28</v>
      </c>
      <c r="Q234" s="12">
        <f t="shared" si="27"/>
        <v>1200.72</v>
      </c>
    </row>
    <row r="235" spans="1:83" s="9" customFormat="1" ht="20.100000000000001" customHeight="1" x14ac:dyDescent="0.3">
      <c r="A235" s="9">
        <v>233</v>
      </c>
      <c r="B235" s="9" t="s">
        <v>522</v>
      </c>
      <c r="C235" s="9" t="s">
        <v>523</v>
      </c>
      <c r="D235" s="9" t="s">
        <v>192</v>
      </c>
      <c r="E235" s="10">
        <v>46174</v>
      </c>
      <c r="F235" s="10">
        <v>46356</v>
      </c>
      <c r="G235" s="11">
        <v>1400</v>
      </c>
      <c r="H235" s="12">
        <v>1400</v>
      </c>
      <c r="I235" s="13">
        <v>1</v>
      </c>
      <c r="J235" s="12">
        <f t="shared" si="22"/>
        <v>1400</v>
      </c>
      <c r="K235" s="12">
        <f t="shared" si="23"/>
        <v>77</v>
      </c>
      <c r="L235" s="12">
        <f t="shared" si="24"/>
        <v>182</v>
      </c>
      <c r="M235" s="12">
        <f t="shared" si="25"/>
        <v>1582</v>
      </c>
      <c r="N235" s="12">
        <f t="shared" si="26"/>
        <v>1323</v>
      </c>
      <c r="O235" s="12">
        <v>122.28</v>
      </c>
      <c r="P235" s="12">
        <f t="shared" si="28"/>
        <v>199.28</v>
      </c>
      <c r="Q235" s="12">
        <f t="shared" si="27"/>
        <v>1200.72</v>
      </c>
    </row>
    <row r="236" spans="1:83" s="9" customFormat="1" ht="18" customHeight="1" x14ac:dyDescent="0.3">
      <c r="A236" s="9">
        <v>234</v>
      </c>
      <c r="B236" s="9" t="s">
        <v>524</v>
      </c>
      <c r="C236" s="9" t="s">
        <v>525</v>
      </c>
      <c r="D236" s="9" t="s">
        <v>526</v>
      </c>
      <c r="E236" s="10">
        <v>46174</v>
      </c>
      <c r="F236" s="10">
        <v>46356</v>
      </c>
      <c r="G236" s="11">
        <v>1400</v>
      </c>
      <c r="H236" s="12">
        <v>1400</v>
      </c>
      <c r="I236" s="13">
        <v>1</v>
      </c>
      <c r="J236" s="12">
        <f t="shared" si="22"/>
        <v>1400</v>
      </c>
      <c r="K236" s="12">
        <f t="shared" si="23"/>
        <v>77</v>
      </c>
      <c r="L236" s="12">
        <f t="shared" si="24"/>
        <v>182</v>
      </c>
      <c r="M236" s="12">
        <f t="shared" si="25"/>
        <v>1582</v>
      </c>
      <c r="N236" s="12">
        <f t="shared" si="26"/>
        <v>1323</v>
      </c>
      <c r="O236" s="12">
        <v>122.28</v>
      </c>
      <c r="P236" s="12">
        <f t="shared" si="28"/>
        <v>199.28</v>
      </c>
      <c r="Q236" s="12">
        <f t="shared" si="27"/>
        <v>1200.72</v>
      </c>
    </row>
    <row r="237" spans="1:83" s="9" customFormat="1" ht="20.100000000000001" customHeight="1" x14ac:dyDescent="0.3">
      <c r="A237" s="9">
        <v>235</v>
      </c>
      <c r="B237" s="9" t="s">
        <v>527</v>
      </c>
      <c r="C237" s="9" t="s">
        <v>528</v>
      </c>
      <c r="D237" s="9" t="s">
        <v>526</v>
      </c>
      <c r="E237" s="10">
        <v>46174</v>
      </c>
      <c r="F237" s="10">
        <v>46356</v>
      </c>
      <c r="G237" s="11">
        <v>1400</v>
      </c>
      <c r="H237" s="12">
        <v>1400</v>
      </c>
      <c r="I237" s="13">
        <v>1</v>
      </c>
      <c r="J237" s="12">
        <f t="shared" si="22"/>
        <v>1400</v>
      </c>
      <c r="K237" s="12">
        <f t="shared" si="23"/>
        <v>77</v>
      </c>
      <c r="L237" s="12">
        <f t="shared" si="24"/>
        <v>182</v>
      </c>
      <c r="M237" s="12">
        <f t="shared" si="25"/>
        <v>1582</v>
      </c>
      <c r="N237" s="12">
        <f t="shared" si="26"/>
        <v>1323</v>
      </c>
      <c r="O237" s="12">
        <v>122.28</v>
      </c>
      <c r="P237" s="12">
        <f t="shared" si="28"/>
        <v>199.28</v>
      </c>
      <c r="Q237" s="12">
        <f t="shared" si="27"/>
        <v>1200.72</v>
      </c>
    </row>
    <row r="238" spans="1:83" s="19" customFormat="1" ht="20.100000000000001" customHeight="1" x14ac:dyDescent="0.3">
      <c r="A238" s="9">
        <v>236</v>
      </c>
      <c r="B238" s="9" t="s">
        <v>529</v>
      </c>
      <c r="C238" s="9" t="s">
        <v>530</v>
      </c>
      <c r="D238" s="9" t="s">
        <v>526</v>
      </c>
      <c r="E238" s="10">
        <v>46174</v>
      </c>
      <c r="F238" s="10">
        <v>46356</v>
      </c>
      <c r="G238" s="11">
        <v>1400</v>
      </c>
      <c r="H238" s="12">
        <v>1400</v>
      </c>
      <c r="I238" s="13">
        <v>1</v>
      </c>
      <c r="J238" s="12">
        <f t="shared" si="22"/>
        <v>1400</v>
      </c>
      <c r="K238" s="12">
        <f t="shared" si="23"/>
        <v>77</v>
      </c>
      <c r="L238" s="12">
        <f t="shared" si="24"/>
        <v>182</v>
      </c>
      <c r="M238" s="12">
        <f t="shared" si="25"/>
        <v>1582</v>
      </c>
      <c r="N238" s="12">
        <f t="shared" si="26"/>
        <v>1323</v>
      </c>
      <c r="O238" s="12">
        <v>122.28</v>
      </c>
      <c r="P238" s="12">
        <f t="shared" si="28"/>
        <v>199.28</v>
      </c>
      <c r="Q238" s="12">
        <f t="shared" si="27"/>
        <v>1200.72</v>
      </c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</row>
    <row r="239" spans="1:83" s="16" customFormat="1" ht="20.100000000000001" customHeight="1" x14ac:dyDescent="0.3">
      <c r="A239" s="9">
        <v>237</v>
      </c>
      <c r="B239" s="9" t="s">
        <v>531</v>
      </c>
      <c r="C239" s="9" t="s">
        <v>532</v>
      </c>
      <c r="D239" s="9" t="s">
        <v>526</v>
      </c>
      <c r="E239" s="10">
        <v>46174</v>
      </c>
      <c r="F239" s="10">
        <v>46356</v>
      </c>
      <c r="G239" s="11">
        <v>1400</v>
      </c>
      <c r="H239" s="12">
        <v>1400</v>
      </c>
      <c r="I239" s="13">
        <v>1</v>
      </c>
      <c r="J239" s="12">
        <f t="shared" si="22"/>
        <v>1400</v>
      </c>
      <c r="K239" s="12">
        <f t="shared" si="23"/>
        <v>77</v>
      </c>
      <c r="L239" s="12">
        <f t="shared" si="24"/>
        <v>182</v>
      </c>
      <c r="M239" s="12">
        <f t="shared" si="25"/>
        <v>1582</v>
      </c>
      <c r="N239" s="12">
        <f t="shared" si="26"/>
        <v>1323</v>
      </c>
      <c r="O239" s="12">
        <v>122.28</v>
      </c>
      <c r="P239" s="12">
        <f t="shared" si="28"/>
        <v>199.28</v>
      </c>
      <c r="Q239" s="12">
        <f t="shared" si="27"/>
        <v>1200.72</v>
      </c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</row>
    <row r="240" spans="1:83" s="9" customFormat="1" ht="20.100000000000001" customHeight="1" x14ac:dyDescent="0.3">
      <c r="A240" s="9">
        <v>238</v>
      </c>
      <c r="B240" s="9" t="s">
        <v>533</v>
      </c>
      <c r="C240" s="9" t="s">
        <v>534</v>
      </c>
      <c r="D240" s="9" t="s">
        <v>526</v>
      </c>
      <c r="E240" s="10">
        <v>46174</v>
      </c>
      <c r="F240" s="10">
        <v>46356</v>
      </c>
      <c r="G240" s="11">
        <v>1400</v>
      </c>
      <c r="H240" s="12">
        <v>1400</v>
      </c>
      <c r="I240" s="13">
        <v>1</v>
      </c>
      <c r="J240" s="12">
        <f t="shared" si="22"/>
        <v>1400</v>
      </c>
      <c r="K240" s="12">
        <f t="shared" si="23"/>
        <v>77</v>
      </c>
      <c r="L240" s="12">
        <f t="shared" si="24"/>
        <v>182</v>
      </c>
      <c r="M240" s="12">
        <f t="shared" si="25"/>
        <v>1582</v>
      </c>
      <c r="N240" s="12">
        <f t="shared" si="26"/>
        <v>1323</v>
      </c>
      <c r="O240" s="12">
        <v>122.28</v>
      </c>
      <c r="P240" s="12">
        <f t="shared" si="28"/>
        <v>199.28</v>
      </c>
      <c r="Q240" s="12">
        <f t="shared" si="27"/>
        <v>1200.72</v>
      </c>
    </row>
    <row r="241" spans="1:83" s="9" customFormat="1" ht="20.100000000000001" customHeight="1" x14ac:dyDescent="0.3">
      <c r="A241" s="9">
        <v>239</v>
      </c>
      <c r="B241" s="9" t="s">
        <v>535</v>
      </c>
      <c r="C241" s="9" t="s">
        <v>536</v>
      </c>
      <c r="D241" s="9" t="s">
        <v>435</v>
      </c>
      <c r="E241" s="10">
        <v>46113</v>
      </c>
      <c r="F241" s="10">
        <v>46295</v>
      </c>
      <c r="G241" s="11">
        <v>1400</v>
      </c>
      <c r="H241" s="12">
        <v>1400</v>
      </c>
      <c r="I241" s="13">
        <v>1</v>
      </c>
      <c r="J241" s="12">
        <f t="shared" si="22"/>
        <v>1400</v>
      </c>
      <c r="K241" s="12">
        <f t="shared" si="23"/>
        <v>77</v>
      </c>
      <c r="L241" s="12">
        <f t="shared" si="24"/>
        <v>182</v>
      </c>
      <c r="M241" s="12">
        <f t="shared" si="25"/>
        <v>1582</v>
      </c>
      <c r="N241" s="12">
        <f t="shared" si="26"/>
        <v>1323</v>
      </c>
      <c r="O241" s="12">
        <v>122.28</v>
      </c>
      <c r="P241" s="12">
        <f t="shared" si="28"/>
        <v>199.28</v>
      </c>
      <c r="Q241" s="12">
        <f t="shared" si="27"/>
        <v>1200.72</v>
      </c>
    </row>
    <row r="242" spans="1:83" s="9" customFormat="1" ht="20.100000000000001" customHeight="1" x14ac:dyDescent="0.3">
      <c r="A242" s="9">
        <v>240</v>
      </c>
      <c r="B242" s="9" t="s">
        <v>537</v>
      </c>
      <c r="C242" s="9" t="s">
        <v>538</v>
      </c>
      <c r="D242" s="9" t="s">
        <v>353</v>
      </c>
      <c r="E242" s="15">
        <v>46054</v>
      </c>
      <c r="F242" s="15">
        <v>46234</v>
      </c>
      <c r="G242" s="11">
        <v>1400</v>
      </c>
      <c r="H242" s="12">
        <v>1400</v>
      </c>
      <c r="I242" s="13">
        <v>1</v>
      </c>
      <c r="J242" s="12">
        <f t="shared" si="22"/>
        <v>1400</v>
      </c>
      <c r="K242" s="12">
        <f t="shared" si="23"/>
        <v>77</v>
      </c>
      <c r="L242" s="12">
        <f t="shared" si="24"/>
        <v>182</v>
      </c>
      <c r="M242" s="12">
        <f t="shared" si="25"/>
        <v>1582</v>
      </c>
      <c r="N242" s="12">
        <f t="shared" si="26"/>
        <v>1323</v>
      </c>
      <c r="O242" s="12">
        <v>122.28</v>
      </c>
      <c r="P242" s="12">
        <f t="shared" si="28"/>
        <v>199.28</v>
      </c>
      <c r="Q242" s="12">
        <f t="shared" si="27"/>
        <v>1200.72</v>
      </c>
    </row>
    <row r="243" spans="1:83" s="9" customFormat="1" ht="20.100000000000001" customHeight="1" x14ac:dyDescent="0.3">
      <c r="A243" s="9">
        <v>241</v>
      </c>
      <c r="B243" s="9" t="s">
        <v>539</v>
      </c>
      <c r="C243" s="9" t="s">
        <v>540</v>
      </c>
      <c r="D243" s="9" t="s">
        <v>353</v>
      </c>
      <c r="E243" s="15">
        <v>46113</v>
      </c>
      <c r="F243" s="15">
        <v>46266</v>
      </c>
      <c r="G243" s="11">
        <v>1400</v>
      </c>
      <c r="H243" s="12">
        <v>1400</v>
      </c>
      <c r="I243" s="13">
        <v>1</v>
      </c>
      <c r="J243" s="12">
        <f t="shared" si="22"/>
        <v>1400</v>
      </c>
      <c r="K243" s="12">
        <f t="shared" si="23"/>
        <v>77</v>
      </c>
      <c r="L243" s="12">
        <f t="shared" si="24"/>
        <v>182</v>
      </c>
      <c r="M243" s="12">
        <f t="shared" si="25"/>
        <v>1582</v>
      </c>
      <c r="N243" s="12">
        <f t="shared" si="26"/>
        <v>1323</v>
      </c>
      <c r="O243" s="12">
        <v>122.28</v>
      </c>
      <c r="P243" s="12">
        <f t="shared" si="28"/>
        <v>199.28</v>
      </c>
      <c r="Q243" s="12">
        <f t="shared" si="27"/>
        <v>1200.72</v>
      </c>
    </row>
    <row r="244" spans="1:83" s="9" customFormat="1" ht="20.100000000000001" customHeight="1" x14ac:dyDescent="0.3">
      <c r="A244" s="9">
        <v>242</v>
      </c>
      <c r="B244" s="9" t="s">
        <v>541</v>
      </c>
      <c r="C244" s="9" t="s">
        <v>542</v>
      </c>
      <c r="D244" s="9" t="s">
        <v>353</v>
      </c>
      <c r="E244" s="10">
        <v>46143</v>
      </c>
      <c r="F244" s="10">
        <v>46325</v>
      </c>
      <c r="G244" s="11">
        <v>1400</v>
      </c>
      <c r="H244" s="12">
        <v>1400</v>
      </c>
      <c r="I244" s="13">
        <v>1</v>
      </c>
      <c r="J244" s="12">
        <f t="shared" si="22"/>
        <v>1400</v>
      </c>
      <c r="K244" s="12">
        <f t="shared" si="23"/>
        <v>77</v>
      </c>
      <c r="L244" s="12">
        <f t="shared" si="24"/>
        <v>182</v>
      </c>
      <c r="M244" s="12">
        <f t="shared" si="25"/>
        <v>1582</v>
      </c>
      <c r="N244" s="12">
        <f t="shared" si="26"/>
        <v>1323</v>
      </c>
      <c r="O244" s="12">
        <v>122.28</v>
      </c>
      <c r="P244" s="12">
        <f t="shared" si="28"/>
        <v>199.28</v>
      </c>
      <c r="Q244" s="12">
        <f t="shared" si="27"/>
        <v>1200.72</v>
      </c>
    </row>
    <row r="245" spans="1:83" s="9" customFormat="1" ht="20.100000000000001" customHeight="1" x14ac:dyDescent="0.3">
      <c r="A245" s="9">
        <v>243</v>
      </c>
      <c r="B245" s="9" t="s">
        <v>543</v>
      </c>
      <c r="C245" s="9" t="s">
        <v>544</v>
      </c>
      <c r="D245" s="9" t="s">
        <v>42</v>
      </c>
      <c r="E245" s="10">
        <v>46143</v>
      </c>
      <c r="F245" s="10">
        <v>46325</v>
      </c>
      <c r="G245" s="11">
        <v>1400</v>
      </c>
      <c r="H245" s="12">
        <v>1400</v>
      </c>
      <c r="I245" s="13">
        <v>1</v>
      </c>
      <c r="J245" s="12">
        <f t="shared" si="22"/>
        <v>1400</v>
      </c>
      <c r="K245" s="12">
        <f t="shared" si="23"/>
        <v>77</v>
      </c>
      <c r="L245" s="12">
        <f t="shared" si="24"/>
        <v>182</v>
      </c>
      <c r="M245" s="12">
        <f t="shared" si="25"/>
        <v>1582</v>
      </c>
      <c r="N245" s="12">
        <f t="shared" si="26"/>
        <v>1323</v>
      </c>
      <c r="O245" s="12">
        <v>122.28</v>
      </c>
      <c r="P245" s="12">
        <f t="shared" si="28"/>
        <v>199.28</v>
      </c>
      <c r="Q245" s="12">
        <f t="shared" si="27"/>
        <v>1200.72</v>
      </c>
    </row>
    <row r="246" spans="1:83" s="9" customFormat="1" ht="20.100000000000001" customHeight="1" x14ac:dyDescent="0.3">
      <c r="A246" s="9">
        <v>244</v>
      </c>
      <c r="B246" s="9" t="s">
        <v>545</v>
      </c>
      <c r="C246" s="9" t="s">
        <v>546</v>
      </c>
      <c r="D246" s="9" t="s">
        <v>113</v>
      </c>
      <c r="E246" s="10">
        <v>46055</v>
      </c>
      <c r="F246" s="10">
        <v>46234</v>
      </c>
      <c r="G246" s="11">
        <v>1400</v>
      </c>
      <c r="H246" s="12">
        <v>1400</v>
      </c>
      <c r="I246" s="13">
        <v>1</v>
      </c>
      <c r="J246" s="12">
        <f t="shared" si="22"/>
        <v>1400</v>
      </c>
      <c r="K246" s="12">
        <f t="shared" si="23"/>
        <v>77</v>
      </c>
      <c r="L246" s="12">
        <f t="shared" si="24"/>
        <v>182</v>
      </c>
      <c r="M246" s="12">
        <f t="shared" si="25"/>
        <v>1582</v>
      </c>
      <c r="N246" s="12">
        <f t="shared" si="26"/>
        <v>1323</v>
      </c>
      <c r="O246" s="12">
        <v>122.28</v>
      </c>
      <c r="P246" s="12">
        <f t="shared" si="28"/>
        <v>199.28</v>
      </c>
      <c r="Q246" s="12">
        <f t="shared" si="27"/>
        <v>1200.72</v>
      </c>
    </row>
    <row r="247" spans="1:83" s="9" customFormat="1" ht="20.100000000000001" customHeight="1" x14ac:dyDescent="0.3">
      <c r="A247" s="9">
        <v>245</v>
      </c>
      <c r="B247" s="9" t="s">
        <v>547</v>
      </c>
      <c r="C247" s="9" t="s">
        <v>548</v>
      </c>
      <c r="D247" s="9" t="s">
        <v>483</v>
      </c>
      <c r="E247" s="10">
        <v>46143</v>
      </c>
      <c r="F247" s="10">
        <v>46325</v>
      </c>
      <c r="G247" s="11">
        <v>1400</v>
      </c>
      <c r="H247" s="12">
        <v>1400</v>
      </c>
      <c r="I247" s="13">
        <v>1</v>
      </c>
      <c r="J247" s="12">
        <f t="shared" si="22"/>
        <v>1400</v>
      </c>
      <c r="K247" s="12">
        <f t="shared" si="23"/>
        <v>77</v>
      </c>
      <c r="L247" s="12">
        <f t="shared" si="24"/>
        <v>182</v>
      </c>
      <c r="M247" s="12">
        <f t="shared" si="25"/>
        <v>1582</v>
      </c>
      <c r="N247" s="12">
        <f t="shared" si="26"/>
        <v>1323</v>
      </c>
      <c r="O247" s="12">
        <v>122.28</v>
      </c>
      <c r="P247" s="12">
        <f t="shared" si="28"/>
        <v>199.28</v>
      </c>
      <c r="Q247" s="12">
        <f t="shared" si="27"/>
        <v>1200.72</v>
      </c>
    </row>
    <row r="248" spans="1:83" s="9" customFormat="1" ht="20.100000000000001" customHeight="1" x14ac:dyDescent="0.3">
      <c r="A248" s="9">
        <v>246</v>
      </c>
      <c r="B248" s="9" t="s">
        <v>549</v>
      </c>
      <c r="C248" s="9" t="s">
        <v>550</v>
      </c>
      <c r="D248" s="14" t="s">
        <v>26</v>
      </c>
      <c r="E248" s="10">
        <v>46055</v>
      </c>
      <c r="F248" s="10">
        <v>46234</v>
      </c>
      <c r="G248" s="11">
        <v>1400</v>
      </c>
      <c r="H248" s="12">
        <v>1400</v>
      </c>
      <c r="I248" s="13">
        <v>1</v>
      </c>
      <c r="J248" s="12">
        <f t="shared" si="22"/>
        <v>1400</v>
      </c>
      <c r="K248" s="12">
        <f t="shared" si="23"/>
        <v>77</v>
      </c>
      <c r="L248" s="12">
        <f t="shared" si="24"/>
        <v>182</v>
      </c>
      <c r="M248" s="12">
        <f t="shared" si="25"/>
        <v>1582</v>
      </c>
      <c r="N248" s="12">
        <f t="shared" si="26"/>
        <v>1323</v>
      </c>
      <c r="O248" s="12">
        <v>122.28</v>
      </c>
      <c r="P248" s="12">
        <f t="shared" si="28"/>
        <v>199.28</v>
      </c>
      <c r="Q248" s="12">
        <f t="shared" si="27"/>
        <v>1200.72</v>
      </c>
    </row>
    <row r="249" spans="1:83" s="9" customFormat="1" ht="20.100000000000001" customHeight="1" x14ac:dyDescent="0.3">
      <c r="A249" s="9">
        <v>247</v>
      </c>
      <c r="B249" s="9" t="s">
        <v>551</v>
      </c>
      <c r="C249" s="9" t="s">
        <v>552</v>
      </c>
      <c r="D249" s="9" t="s">
        <v>192</v>
      </c>
      <c r="E249" s="10">
        <v>46055</v>
      </c>
      <c r="F249" s="10">
        <v>46234</v>
      </c>
      <c r="G249" s="11">
        <v>1400</v>
      </c>
      <c r="H249" s="12">
        <v>1400</v>
      </c>
      <c r="I249" s="13">
        <v>1</v>
      </c>
      <c r="J249" s="12">
        <f t="shared" si="22"/>
        <v>1400</v>
      </c>
      <c r="K249" s="12">
        <f t="shared" si="23"/>
        <v>77</v>
      </c>
      <c r="L249" s="12">
        <f t="shared" si="24"/>
        <v>182</v>
      </c>
      <c r="M249" s="12">
        <f t="shared" si="25"/>
        <v>1582</v>
      </c>
      <c r="N249" s="12">
        <f t="shared" si="26"/>
        <v>1323</v>
      </c>
      <c r="O249" s="12">
        <v>122.28</v>
      </c>
      <c r="P249" s="12">
        <f t="shared" si="28"/>
        <v>199.28</v>
      </c>
      <c r="Q249" s="12">
        <f t="shared" si="27"/>
        <v>1200.72</v>
      </c>
    </row>
    <row r="250" spans="1:83" s="9" customFormat="1" ht="20.100000000000001" customHeight="1" x14ac:dyDescent="0.3">
      <c r="A250" s="9">
        <v>248</v>
      </c>
      <c r="B250" s="9" t="s">
        <v>553</v>
      </c>
      <c r="C250" s="9" t="s">
        <v>554</v>
      </c>
      <c r="D250" s="9" t="s">
        <v>192</v>
      </c>
      <c r="E250" s="10">
        <v>46055</v>
      </c>
      <c r="F250" s="10">
        <v>46234</v>
      </c>
      <c r="G250" s="11">
        <v>1400</v>
      </c>
      <c r="H250" s="12">
        <v>1400</v>
      </c>
      <c r="I250" s="13">
        <v>1</v>
      </c>
      <c r="J250" s="12">
        <f t="shared" si="22"/>
        <v>1400</v>
      </c>
      <c r="K250" s="12">
        <f t="shared" si="23"/>
        <v>77</v>
      </c>
      <c r="L250" s="12">
        <f t="shared" si="24"/>
        <v>182</v>
      </c>
      <c r="M250" s="12">
        <f t="shared" si="25"/>
        <v>1582</v>
      </c>
      <c r="N250" s="12">
        <f t="shared" si="26"/>
        <v>1323</v>
      </c>
      <c r="O250" s="12">
        <v>122.28</v>
      </c>
      <c r="P250" s="12">
        <f t="shared" si="28"/>
        <v>199.28</v>
      </c>
      <c r="Q250" s="12">
        <f t="shared" si="27"/>
        <v>1200.72</v>
      </c>
    </row>
    <row r="251" spans="1:83" s="9" customFormat="1" ht="20.100000000000001" customHeight="1" x14ac:dyDescent="0.3">
      <c r="A251" s="9">
        <v>249</v>
      </c>
      <c r="B251" s="9" t="s">
        <v>555</v>
      </c>
      <c r="C251" s="9" t="s">
        <v>556</v>
      </c>
      <c r="D251" s="9" t="s">
        <v>192</v>
      </c>
      <c r="E251" s="10">
        <v>46055</v>
      </c>
      <c r="F251" s="10">
        <v>46234</v>
      </c>
      <c r="G251" s="11">
        <v>1400</v>
      </c>
      <c r="H251" s="12">
        <v>1400</v>
      </c>
      <c r="I251" s="13">
        <v>1</v>
      </c>
      <c r="J251" s="12">
        <f t="shared" si="22"/>
        <v>1400</v>
      </c>
      <c r="K251" s="12">
        <f t="shared" si="23"/>
        <v>77</v>
      </c>
      <c r="L251" s="12">
        <f t="shared" si="24"/>
        <v>182</v>
      </c>
      <c r="M251" s="12">
        <f t="shared" si="25"/>
        <v>1582</v>
      </c>
      <c r="N251" s="12">
        <f t="shared" si="26"/>
        <v>1323</v>
      </c>
      <c r="O251" s="12">
        <v>122.28</v>
      </c>
      <c r="P251" s="12">
        <f t="shared" si="28"/>
        <v>199.28</v>
      </c>
      <c r="Q251" s="12">
        <f t="shared" si="27"/>
        <v>1200.72</v>
      </c>
    </row>
    <row r="252" spans="1:83" s="9" customFormat="1" ht="20.100000000000001" customHeight="1" x14ac:dyDescent="0.3">
      <c r="A252" s="9">
        <v>250</v>
      </c>
      <c r="B252" s="9" t="s">
        <v>557</v>
      </c>
      <c r="C252" s="9" t="s">
        <v>558</v>
      </c>
      <c r="D252" s="9" t="s">
        <v>559</v>
      </c>
      <c r="E252" s="10">
        <v>46055</v>
      </c>
      <c r="F252" s="10">
        <v>46234</v>
      </c>
      <c r="G252" s="11">
        <v>1400</v>
      </c>
      <c r="H252" s="12">
        <v>1400</v>
      </c>
      <c r="I252" s="13">
        <v>1</v>
      </c>
      <c r="J252" s="12">
        <f t="shared" si="22"/>
        <v>1400</v>
      </c>
      <c r="K252" s="12">
        <f t="shared" si="23"/>
        <v>77</v>
      </c>
      <c r="L252" s="12">
        <f t="shared" si="24"/>
        <v>182</v>
      </c>
      <c r="M252" s="12">
        <f t="shared" si="25"/>
        <v>1582</v>
      </c>
      <c r="N252" s="12">
        <f t="shared" si="26"/>
        <v>1323</v>
      </c>
      <c r="O252" s="12">
        <v>122.28</v>
      </c>
      <c r="P252" s="12">
        <f t="shared" si="28"/>
        <v>199.28</v>
      </c>
      <c r="Q252" s="12">
        <f t="shared" si="27"/>
        <v>1200.72</v>
      </c>
    </row>
    <row r="253" spans="1:83" s="16" customFormat="1" ht="20.100000000000001" customHeight="1" x14ac:dyDescent="0.3">
      <c r="A253" s="9">
        <v>251</v>
      </c>
      <c r="B253" s="9" t="s">
        <v>560</v>
      </c>
      <c r="C253" s="9" t="s">
        <v>561</v>
      </c>
      <c r="D253" s="9" t="s">
        <v>416</v>
      </c>
      <c r="E253" s="10">
        <v>46055</v>
      </c>
      <c r="F253" s="10">
        <v>46234</v>
      </c>
      <c r="G253" s="11">
        <v>1400</v>
      </c>
      <c r="H253" s="12">
        <v>1400</v>
      </c>
      <c r="I253" s="13">
        <v>1</v>
      </c>
      <c r="J253" s="12">
        <f t="shared" si="22"/>
        <v>1400</v>
      </c>
      <c r="K253" s="12">
        <f t="shared" si="23"/>
        <v>77</v>
      </c>
      <c r="L253" s="12">
        <f t="shared" si="24"/>
        <v>182</v>
      </c>
      <c r="M253" s="12">
        <f t="shared" si="25"/>
        <v>1582</v>
      </c>
      <c r="N253" s="12">
        <f t="shared" si="26"/>
        <v>1323</v>
      </c>
      <c r="O253" s="12">
        <v>122.28</v>
      </c>
      <c r="P253" s="12">
        <f t="shared" si="28"/>
        <v>199.28</v>
      </c>
      <c r="Q253" s="12">
        <f t="shared" si="27"/>
        <v>1200.72</v>
      </c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</row>
    <row r="254" spans="1:83" s="9" customFormat="1" ht="20.100000000000001" customHeight="1" x14ac:dyDescent="0.3">
      <c r="A254" s="9">
        <v>252</v>
      </c>
      <c r="B254" s="9" t="s">
        <v>562</v>
      </c>
      <c r="C254" s="9" t="s">
        <v>563</v>
      </c>
      <c r="D254" s="9" t="s">
        <v>564</v>
      </c>
      <c r="E254" s="10">
        <v>46055</v>
      </c>
      <c r="F254" s="10">
        <v>46234</v>
      </c>
      <c r="G254" s="11">
        <v>1400</v>
      </c>
      <c r="H254" s="12">
        <v>1400</v>
      </c>
      <c r="I254" s="13">
        <v>1</v>
      </c>
      <c r="J254" s="12">
        <f t="shared" si="22"/>
        <v>1400</v>
      </c>
      <c r="K254" s="12">
        <f t="shared" si="23"/>
        <v>77</v>
      </c>
      <c r="L254" s="12">
        <f t="shared" si="24"/>
        <v>182</v>
      </c>
      <c r="M254" s="12">
        <f t="shared" si="25"/>
        <v>1582</v>
      </c>
      <c r="N254" s="12">
        <f t="shared" si="26"/>
        <v>1323</v>
      </c>
      <c r="O254" s="12">
        <v>122.28</v>
      </c>
      <c r="P254" s="12">
        <f t="shared" si="28"/>
        <v>199.28</v>
      </c>
      <c r="Q254" s="12">
        <f t="shared" si="27"/>
        <v>1200.72</v>
      </c>
    </row>
    <row r="255" spans="1:83" s="9" customFormat="1" ht="20.100000000000001" customHeight="1" x14ac:dyDescent="0.3">
      <c r="A255" s="9">
        <v>253</v>
      </c>
      <c r="B255" s="9" t="s">
        <v>565</v>
      </c>
      <c r="C255" s="9" t="s">
        <v>566</v>
      </c>
      <c r="D255" s="9" t="s">
        <v>460</v>
      </c>
      <c r="E255" s="10">
        <v>46055</v>
      </c>
      <c r="F255" s="10">
        <v>46234</v>
      </c>
      <c r="G255" s="11">
        <v>1400</v>
      </c>
      <c r="H255" s="12">
        <v>1400</v>
      </c>
      <c r="I255" s="13">
        <v>1</v>
      </c>
      <c r="J255" s="12">
        <f t="shared" si="22"/>
        <v>1400</v>
      </c>
      <c r="K255" s="12">
        <f t="shared" si="23"/>
        <v>77</v>
      </c>
      <c r="L255" s="12">
        <f t="shared" si="24"/>
        <v>182</v>
      </c>
      <c r="M255" s="12">
        <f t="shared" si="25"/>
        <v>1582</v>
      </c>
      <c r="N255" s="12">
        <f t="shared" si="26"/>
        <v>1323</v>
      </c>
      <c r="O255" s="12">
        <v>122.28</v>
      </c>
      <c r="P255" s="12">
        <f t="shared" si="28"/>
        <v>199.28</v>
      </c>
      <c r="Q255" s="12">
        <f t="shared" si="27"/>
        <v>1200.72</v>
      </c>
    </row>
    <row r="256" spans="1:83" s="9" customFormat="1" ht="20.100000000000001" customHeight="1" x14ac:dyDescent="0.3">
      <c r="A256" s="9">
        <v>254</v>
      </c>
      <c r="B256" s="9" t="s">
        <v>567</v>
      </c>
      <c r="C256" s="9" t="s">
        <v>568</v>
      </c>
      <c r="D256" s="9" t="s">
        <v>460</v>
      </c>
      <c r="E256" s="10">
        <v>46055</v>
      </c>
      <c r="F256" s="10">
        <v>46234</v>
      </c>
      <c r="G256" s="11">
        <v>1400</v>
      </c>
      <c r="H256" s="12">
        <v>1400</v>
      </c>
      <c r="I256" s="13">
        <v>1</v>
      </c>
      <c r="J256" s="12">
        <f t="shared" si="22"/>
        <v>1400</v>
      </c>
      <c r="K256" s="12">
        <f t="shared" si="23"/>
        <v>77</v>
      </c>
      <c r="L256" s="12">
        <f t="shared" si="24"/>
        <v>182</v>
      </c>
      <c r="M256" s="12">
        <f t="shared" si="25"/>
        <v>1582</v>
      </c>
      <c r="N256" s="12">
        <f t="shared" si="26"/>
        <v>1323</v>
      </c>
      <c r="O256" s="12">
        <v>122.28</v>
      </c>
      <c r="P256" s="12">
        <f t="shared" si="28"/>
        <v>199.28</v>
      </c>
      <c r="Q256" s="12">
        <f t="shared" si="27"/>
        <v>1200.72</v>
      </c>
    </row>
    <row r="257" spans="1:83" s="9" customFormat="1" ht="20.100000000000001" customHeight="1" x14ac:dyDescent="0.3">
      <c r="A257" s="9">
        <v>255</v>
      </c>
      <c r="B257" s="9" t="s">
        <v>569</v>
      </c>
      <c r="C257" s="9" t="s">
        <v>570</v>
      </c>
      <c r="D257" s="9" t="s">
        <v>460</v>
      </c>
      <c r="E257" s="10">
        <v>46055</v>
      </c>
      <c r="F257" s="10">
        <v>46234</v>
      </c>
      <c r="G257" s="11">
        <v>1400</v>
      </c>
      <c r="H257" s="12">
        <v>1400</v>
      </c>
      <c r="I257" s="13">
        <v>1</v>
      </c>
      <c r="J257" s="12">
        <f t="shared" si="22"/>
        <v>1400</v>
      </c>
      <c r="K257" s="12">
        <f t="shared" si="23"/>
        <v>77</v>
      </c>
      <c r="L257" s="12">
        <f t="shared" si="24"/>
        <v>182</v>
      </c>
      <c r="M257" s="12">
        <f t="shared" si="25"/>
        <v>1582</v>
      </c>
      <c r="N257" s="12">
        <f t="shared" si="26"/>
        <v>1323</v>
      </c>
      <c r="O257" s="12">
        <v>122.28</v>
      </c>
      <c r="P257" s="12">
        <f t="shared" si="28"/>
        <v>199.28</v>
      </c>
      <c r="Q257" s="12">
        <f t="shared" si="27"/>
        <v>1200.72</v>
      </c>
    </row>
    <row r="258" spans="1:83" s="9" customFormat="1" ht="20.100000000000001" customHeight="1" x14ac:dyDescent="0.3">
      <c r="A258" s="9">
        <v>256</v>
      </c>
      <c r="B258" s="9" t="s">
        <v>571</v>
      </c>
      <c r="C258" s="9" t="s">
        <v>572</v>
      </c>
      <c r="D258" s="9" t="s">
        <v>460</v>
      </c>
      <c r="E258" s="10">
        <v>46055</v>
      </c>
      <c r="F258" s="10">
        <v>46234</v>
      </c>
      <c r="G258" s="11">
        <v>1400</v>
      </c>
      <c r="H258" s="12">
        <v>1400</v>
      </c>
      <c r="I258" s="13">
        <v>1</v>
      </c>
      <c r="J258" s="12">
        <f t="shared" si="22"/>
        <v>1400</v>
      </c>
      <c r="K258" s="12">
        <f t="shared" si="23"/>
        <v>77</v>
      </c>
      <c r="L258" s="12">
        <f t="shared" si="24"/>
        <v>182</v>
      </c>
      <c r="M258" s="12">
        <f t="shared" si="25"/>
        <v>1582</v>
      </c>
      <c r="N258" s="12">
        <f t="shared" si="26"/>
        <v>1323</v>
      </c>
      <c r="O258" s="12">
        <v>122.28</v>
      </c>
      <c r="P258" s="12">
        <f t="shared" si="28"/>
        <v>199.28</v>
      </c>
      <c r="Q258" s="12">
        <f t="shared" si="27"/>
        <v>1200.72</v>
      </c>
    </row>
    <row r="259" spans="1:83" s="9" customFormat="1" ht="20.100000000000001" customHeight="1" x14ac:dyDescent="0.3">
      <c r="A259" s="9">
        <v>257</v>
      </c>
      <c r="B259" s="9" t="s">
        <v>573</v>
      </c>
      <c r="C259" s="9" t="s">
        <v>574</v>
      </c>
      <c r="D259" s="9" t="s">
        <v>460</v>
      </c>
      <c r="E259" s="10">
        <v>46055</v>
      </c>
      <c r="F259" s="10">
        <v>46234</v>
      </c>
      <c r="G259" s="11">
        <v>1400</v>
      </c>
      <c r="H259" s="12">
        <v>1400</v>
      </c>
      <c r="I259" s="13">
        <v>1</v>
      </c>
      <c r="J259" s="12">
        <f t="shared" ref="J259:J322" si="29">H259*I259</f>
        <v>1400</v>
      </c>
      <c r="K259" s="12">
        <f t="shared" ref="K259:K322" si="30">J259*0.055</f>
        <v>77</v>
      </c>
      <c r="L259" s="12">
        <f t="shared" ref="L259:L322" si="31">0.13*J259</f>
        <v>182</v>
      </c>
      <c r="M259" s="12">
        <f t="shared" ref="M259:M322" si="32">J259+L259</f>
        <v>1582</v>
      </c>
      <c r="N259" s="12">
        <f t="shared" ref="N259:N322" si="33">J259-K259</f>
        <v>1323</v>
      </c>
      <c r="O259" s="12">
        <v>122.28</v>
      </c>
      <c r="P259" s="12">
        <f t="shared" si="28"/>
        <v>199.28</v>
      </c>
      <c r="Q259" s="12">
        <f t="shared" ref="Q259:Q322" si="34">J259-P259</f>
        <v>1200.72</v>
      </c>
    </row>
    <row r="260" spans="1:83" s="9" customFormat="1" ht="20.100000000000001" customHeight="1" x14ac:dyDescent="0.3">
      <c r="A260" s="9">
        <v>258</v>
      </c>
      <c r="B260" s="9" t="s">
        <v>575</v>
      </c>
      <c r="C260" s="9" t="s">
        <v>576</v>
      </c>
      <c r="D260" s="9" t="s">
        <v>23</v>
      </c>
      <c r="E260" s="10">
        <v>46055</v>
      </c>
      <c r="F260" s="10">
        <v>46234</v>
      </c>
      <c r="G260" s="11">
        <v>1400</v>
      </c>
      <c r="H260" s="12">
        <v>1400</v>
      </c>
      <c r="I260" s="13">
        <v>1</v>
      </c>
      <c r="J260" s="12">
        <f t="shared" si="29"/>
        <v>1400</v>
      </c>
      <c r="K260" s="12">
        <f t="shared" si="30"/>
        <v>77</v>
      </c>
      <c r="L260" s="12">
        <f t="shared" si="31"/>
        <v>182</v>
      </c>
      <c r="M260" s="12">
        <f t="shared" si="32"/>
        <v>1582</v>
      </c>
      <c r="N260" s="12">
        <f t="shared" si="33"/>
        <v>1323</v>
      </c>
      <c r="O260" s="12">
        <v>122.28</v>
      </c>
      <c r="P260" s="12">
        <f t="shared" si="28"/>
        <v>199.28</v>
      </c>
      <c r="Q260" s="12">
        <f t="shared" si="34"/>
        <v>1200.72</v>
      </c>
    </row>
    <row r="261" spans="1:83" s="9" customFormat="1" ht="20.100000000000001" customHeight="1" x14ac:dyDescent="0.3">
      <c r="A261" s="9">
        <v>259</v>
      </c>
      <c r="B261" s="9" t="s">
        <v>577</v>
      </c>
      <c r="C261" s="9" t="s">
        <v>578</v>
      </c>
      <c r="D261" s="9" t="s">
        <v>23</v>
      </c>
      <c r="E261" s="10">
        <v>46055</v>
      </c>
      <c r="F261" s="10">
        <v>46234</v>
      </c>
      <c r="G261" s="11">
        <v>1400</v>
      </c>
      <c r="H261" s="12">
        <v>1400</v>
      </c>
      <c r="I261" s="13">
        <v>1</v>
      </c>
      <c r="J261" s="12">
        <f t="shared" si="29"/>
        <v>1400</v>
      </c>
      <c r="K261" s="12">
        <f t="shared" si="30"/>
        <v>77</v>
      </c>
      <c r="L261" s="12">
        <f t="shared" si="31"/>
        <v>182</v>
      </c>
      <c r="M261" s="12">
        <f t="shared" si="32"/>
        <v>1582</v>
      </c>
      <c r="N261" s="12">
        <f t="shared" si="33"/>
        <v>1323</v>
      </c>
      <c r="O261" s="12">
        <v>122.28</v>
      </c>
      <c r="P261" s="12">
        <f t="shared" si="28"/>
        <v>199.28</v>
      </c>
      <c r="Q261" s="12">
        <f t="shared" si="34"/>
        <v>1200.72</v>
      </c>
    </row>
    <row r="262" spans="1:83" s="9" customFormat="1" ht="20.100000000000001" customHeight="1" x14ac:dyDescent="0.3">
      <c r="A262" s="9">
        <v>260</v>
      </c>
      <c r="B262" s="9" t="s">
        <v>579</v>
      </c>
      <c r="C262" s="9" t="s">
        <v>580</v>
      </c>
      <c r="D262" s="9" t="s">
        <v>353</v>
      </c>
      <c r="E262" s="10">
        <v>46055</v>
      </c>
      <c r="F262" s="10">
        <v>46234</v>
      </c>
      <c r="G262" s="11">
        <v>1400</v>
      </c>
      <c r="H262" s="12">
        <v>1400</v>
      </c>
      <c r="I262" s="13">
        <v>1</v>
      </c>
      <c r="J262" s="12">
        <f t="shared" si="29"/>
        <v>1400</v>
      </c>
      <c r="K262" s="12">
        <f t="shared" si="30"/>
        <v>77</v>
      </c>
      <c r="L262" s="12">
        <f t="shared" si="31"/>
        <v>182</v>
      </c>
      <c r="M262" s="12">
        <f t="shared" si="32"/>
        <v>1582</v>
      </c>
      <c r="N262" s="12">
        <f t="shared" si="33"/>
        <v>1323</v>
      </c>
      <c r="O262" s="12">
        <v>122.28</v>
      </c>
      <c r="P262" s="12">
        <f t="shared" si="28"/>
        <v>199.28</v>
      </c>
      <c r="Q262" s="12">
        <f t="shared" si="34"/>
        <v>1200.72</v>
      </c>
    </row>
    <row r="263" spans="1:83" s="9" customFormat="1" ht="20.100000000000001" customHeight="1" x14ac:dyDescent="0.3">
      <c r="A263" s="9">
        <v>261</v>
      </c>
      <c r="B263" s="9" t="s">
        <v>581</v>
      </c>
      <c r="C263" s="9" t="s">
        <v>582</v>
      </c>
      <c r="D263" s="9" t="s">
        <v>353</v>
      </c>
      <c r="E263" s="10">
        <v>46055</v>
      </c>
      <c r="F263" s="10">
        <v>46234</v>
      </c>
      <c r="G263" s="11">
        <v>1400</v>
      </c>
      <c r="H263" s="12">
        <v>1400</v>
      </c>
      <c r="I263" s="13">
        <v>1</v>
      </c>
      <c r="J263" s="12">
        <f t="shared" si="29"/>
        <v>1400</v>
      </c>
      <c r="K263" s="12">
        <f t="shared" si="30"/>
        <v>77</v>
      </c>
      <c r="L263" s="12">
        <f t="shared" si="31"/>
        <v>182</v>
      </c>
      <c r="M263" s="12">
        <f t="shared" si="32"/>
        <v>1582</v>
      </c>
      <c r="N263" s="12">
        <f t="shared" si="33"/>
        <v>1323</v>
      </c>
      <c r="O263" s="12">
        <v>122.28</v>
      </c>
      <c r="P263" s="12">
        <f t="shared" si="28"/>
        <v>199.28</v>
      </c>
      <c r="Q263" s="12">
        <f t="shared" si="34"/>
        <v>1200.72</v>
      </c>
    </row>
    <row r="264" spans="1:83" s="9" customFormat="1" ht="20.100000000000001" customHeight="1" x14ac:dyDescent="0.3">
      <c r="A264" s="9">
        <v>262</v>
      </c>
      <c r="B264" s="9" t="s">
        <v>583</v>
      </c>
      <c r="C264" s="9" t="s">
        <v>584</v>
      </c>
      <c r="D264" s="9" t="s">
        <v>353</v>
      </c>
      <c r="E264" s="10">
        <v>46113</v>
      </c>
      <c r="F264" s="10">
        <v>46295</v>
      </c>
      <c r="G264" s="11">
        <v>1400</v>
      </c>
      <c r="H264" s="12">
        <v>1400</v>
      </c>
      <c r="I264" s="13">
        <v>1</v>
      </c>
      <c r="J264" s="12">
        <f t="shared" si="29"/>
        <v>1400</v>
      </c>
      <c r="K264" s="12">
        <f t="shared" si="30"/>
        <v>77</v>
      </c>
      <c r="L264" s="12">
        <f t="shared" si="31"/>
        <v>182</v>
      </c>
      <c r="M264" s="12">
        <f t="shared" si="32"/>
        <v>1582</v>
      </c>
      <c r="N264" s="12">
        <f t="shared" si="33"/>
        <v>1323</v>
      </c>
      <c r="O264" s="12">
        <v>122.28</v>
      </c>
      <c r="P264" s="12">
        <f t="shared" si="28"/>
        <v>199.28</v>
      </c>
      <c r="Q264" s="12">
        <f t="shared" si="34"/>
        <v>1200.72</v>
      </c>
    </row>
    <row r="265" spans="1:83" s="9" customFormat="1" ht="20.100000000000001" customHeight="1" x14ac:dyDescent="0.3">
      <c r="A265" s="9">
        <v>263</v>
      </c>
      <c r="B265" s="9" t="s">
        <v>585</v>
      </c>
      <c r="C265" s="9" t="s">
        <v>586</v>
      </c>
      <c r="D265" s="9" t="s">
        <v>353</v>
      </c>
      <c r="E265" s="10">
        <v>46113</v>
      </c>
      <c r="F265" s="10">
        <v>46295</v>
      </c>
      <c r="G265" s="11">
        <v>1400</v>
      </c>
      <c r="H265" s="12">
        <v>1400</v>
      </c>
      <c r="I265" s="13">
        <v>1</v>
      </c>
      <c r="J265" s="12">
        <f t="shared" si="29"/>
        <v>1400</v>
      </c>
      <c r="K265" s="12">
        <f t="shared" si="30"/>
        <v>77</v>
      </c>
      <c r="L265" s="12">
        <f t="shared" si="31"/>
        <v>182</v>
      </c>
      <c r="M265" s="12">
        <f t="shared" si="32"/>
        <v>1582</v>
      </c>
      <c r="N265" s="12">
        <f t="shared" si="33"/>
        <v>1323</v>
      </c>
      <c r="O265" s="12">
        <v>122.28</v>
      </c>
      <c r="P265" s="12">
        <f t="shared" si="28"/>
        <v>199.28</v>
      </c>
      <c r="Q265" s="12">
        <f t="shared" si="34"/>
        <v>1200.72</v>
      </c>
    </row>
    <row r="266" spans="1:83" s="16" customFormat="1" ht="20.100000000000001" customHeight="1" x14ac:dyDescent="0.3">
      <c r="A266" s="9">
        <v>264</v>
      </c>
      <c r="B266" s="9" t="s">
        <v>587</v>
      </c>
      <c r="C266" s="9" t="s">
        <v>588</v>
      </c>
      <c r="D266" s="9" t="s">
        <v>589</v>
      </c>
      <c r="E266" s="10">
        <v>46174</v>
      </c>
      <c r="F266" s="10">
        <v>46356</v>
      </c>
      <c r="G266" s="11">
        <v>1400</v>
      </c>
      <c r="H266" s="12">
        <v>1400</v>
      </c>
      <c r="I266" s="13">
        <v>1</v>
      </c>
      <c r="J266" s="12">
        <f t="shared" si="29"/>
        <v>1400</v>
      </c>
      <c r="K266" s="12">
        <f t="shared" si="30"/>
        <v>77</v>
      </c>
      <c r="L266" s="12">
        <f t="shared" si="31"/>
        <v>182</v>
      </c>
      <c r="M266" s="12">
        <f t="shared" si="32"/>
        <v>1582</v>
      </c>
      <c r="N266" s="12">
        <f t="shared" si="33"/>
        <v>1323</v>
      </c>
      <c r="O266" s="12">
        <v>122.28</v>
      </c>
      <c r="P266" s="12">
        <f t="shared" si="28"/>
        <v>199.28</v>
      </c>
      <c r="Q266" s="12">
        <f t="shared" si="34"/>
        <v>1200.72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</row>
    <row r="267" spans="1:83" s="9" customFormat="1" ht="20.100000000000001" customHeight="1" x14ac:dyDescent="0.3">
      <c r="A267" s="9">
        <v>265</v>
      </c>
      <c r="B267" s="9" t="s">
        <v>590</v>
      </c>
      <c r="C267" s="9" t="s">
        <v>591</v>
      </c>
      <c r="D267" s="9" t="s">
        <v>493</v>
      </c>
      <c r="E267" s="10">
        <v>46055</v>
      </c>
      <c r="F267" s="10">
        <v>46234</v>
      </c>
      <c r="G267" s="11">
        <v>1400</v>
      </c>
      <c r="H267" s="12">
        <v>1400</v>
      </c>
      <c r="I267" s="13">
        <v>1</v>
      </c>
      <c r="J267" s="12">
        <f t="shared" si="29"/>
        <v>1400</v>
      </c>
      <c r="K267" s="12">
        <f t="shared" si="30"/>
        <v>77</v>
      </c>
      <c r="L267" s="12">
        <f t="shared" si="31"/>
        <v>182</v>
      </c>
      <c r="M267" s="12">
        <f t="shared" si="32"/>
        <v>1582</v>
      </c>
      <c r="N267" s="12">
        <f t="shared" si="33"/>
        <v>1323</v>
      </c>
      <c r="O267" s="12">
        <v>122.28</v>
      </c>
      <c r="P267" s="12">
        <f t="shared" si="28"/>
        <v>199.28</v>
      </c>
      <c r="Q267" s="12">
        <f t="shared" si="34"/>
        <v>1200.72</v>
      </c>
    </row>
    <row r="268" spans="1:83" s="9" customFormat="1" ht="20.100000000000001" customHeight="1" x14ac:dyDescent="0.3">
      <c r="A268" s="9">
        <v>266</v>
      </c>
      <c r="B268" s="9" t="s">
        <v>592</v>
      </c>
      <c r="C268" s="9" t="s">
        <v>593</v>
      </c>
      <c r="D268" s="9" t="s">
        <v>493</v>
      </c>
      <c r="E268" s="10">
        <v>46055</v>
      </c>
      <c r="F268" s="10">
        <v>46234</v>
      </c>
      <c r="G268" s="11">
        <v>1400</v>
      </c>
      <c r="H268" s="12">
        <v>1400</v>
      </c>
      <c r="I268" s="13">
        <v>1</v>
      </c>
      <c r="J268" s="12">
        <f t="shared" si="29"/>
        <v>1400</v>
      </c>
      <c r="K268" s="12">
        <f t="shared" si="30"/>
        <v>77</v>
      </c>
      <c r="L268" s="12">
        <f t="shared" si="31"/>
        <v>182</v>
      </c>
      <c r="M268" s="12">
        <f t="shared" si="32"/>
        <v>1582</v>
      </c>
      <c r="N268" s="12">
        <f t="shared" si="33"/>
        <v>1323</v>
      </c>
      <c r="O268" s="12">
        <v>122.28</v>
      </c>
      <c r="P268" s="12">
        <f t="shared" si="28"/>
        <v>199.28</v>
      </c>
      <c r="Q268" s="12">
        <f t="shared" si="34"/>
        <v>1200.72</v>
      </c>
    </row>
    <row r="269" spans="1:83" s="19" customFormat="1" ht="20.100000000000001" customHeight="1" x14ac:dyDescent="0.3">
      <c r="A269" s="9">
        <v>267</v>
      </c>
      <c r="B269" s="9" t="s">
        <v>594</v>
      </c>
      <c r="C269" s="9" t="s">
        <v>595</v>
      </c>
      <c r="D269" s="9" t="s">
        <v>493</v>
      </c>
      <c r="E269" s="10">
        <v>46055</v>
      </c>
      <c r="F269" s="10">
        <v>46234</v>
      </c>
      <c r="G269" s="11">
        <v>1400</v>
      </c>
      <c r="H269" s="12">
        <v>1400</v>
      </c>
      <c r="I269" s="13">
        <v>1</v>
      </c>
      <c r="J269" s="12">
        <f t="shared" si="29"/>
        <v>1400</v>
      </c>
      <c r="K269" s="12">
        <f t="shared" si="30"/>
        <v>77</v>
      </c>
      <c r="L269" s="12">
        <f t="shared" si="31"/>
        <v>182</v>
      </c>
      <c r="M269" s="12">
        <f t="shared" si="32"/>
        <v>1582</v>
      </c>
      <c r="N269" s="12">
        <f t="shared" si="33"/>
        <v>1323</v>
      </c>
      <c r="O269" s="12">
        <v>122.28</v>
      </c>
      <c r="P269" s="12">
        <f t="shared" si="28"/>
        <v>199.28</v>
      </c>
      <c r="Q269" s="12">
        <f t="shared" si="34"/>
        <v>1200.72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</row>
    <row r="270" spans="1:83" s="9" customFormat="1" ht="20.100000000000001" customHeight="1" x14ac:dyDescent="0.3">
      <c r="A270" s="9">
        <v>268</v>
      </c>
      <c r="B270" s="9" t="s">
        <v>596</v>
      </c>
      <c r="C270" s="9" t="s">
        <v>597</v>
      </c>
      <c r="D270" s="9" t="s">
        <v>87</v>
      </c>
      <c r="E270" s="10">
        <v>46055</v>
      </c>
      <c r="F270" s="10">
        <v>46234</v>
      </c>
      <c r="G270" s="11">
        <v>1400</v>
      </c>
      <c r="H270" s="12">
        <v>1400</v>
      </c>
      <c r="I270" s="13">
        <v>1</v>
      </c>
      <c r="J270" s="12">
        <f t="shared" si="29"/>
        <v>1400</v>
      </c>
      <c r="K270" s="12">
        <f t="shared" si="30"/>
        <v>77</v>
      </c>
      <c r="L270" s="12">
        <f t="shared" si="31"/>
        <v>182</v>
      </c>
      <c r="M270" s="12">
        <f t="shared" si="32"/>
        <v>1582</v>
      </c>
      <c r="N270" s="12">
        <f t="shared" si="33"/>
        <v>1323</v>
      </c>
      <c r="O270" s="12">
        <v>122.28</v>
      </c>
      <c r="P270" s="12">
        <f t="shared" si="28"/>
        <v>199.28</v>
      </c>
      <c r="Q270" s="12">
        <f t="shared" si="34"/>
        <v>1200.72</v>
      </c>
    </row>
    <row r="271" spans="1:83" s="9" customFormat="1" ht="20.100000000000001" customHeight="1" x14ac:dyDescent="0.3">
      <c r="A271" s="9">
        <v>269</v>
      </c>
      <c r="B271" s="9" t="s">
        <v>598</v>
      </c>
      <c r="C271" s="9" t="s">
        <v>599</v>
      </c>
      <c r="D271" s="9" t="s">
        <v>600</v>
      </c>
      <c r="E271" s="10">
        <v>46055</v>
      </c>
      <c r="F271" s="10">
        <v>46234</v>
      </c>
      <c r="G271" s="11">
        <v>1400</v>
      </c>
      <c r="H271" s="12">
        <v>1400</v>
      </c>
      <c r="I271" s="13">
        <v>1</v>
      </c>
      <c r="J271" s="12">
        <f t="shared" si="29"/>
        <v>1400</v>
      </c>
      <c r="K271" s="12">
        <f t="shared" si="30"/>
        <v>77</v>
      </c>
      <c r="L271" s="12">
        <f t="shared" si="31"/>
        <v>182</v>
      </c>
      <c r="M271" s="12">
        <f t="shared" si="32"/>
        <v>1582</v>
      </c>
      <c r="N271" s="12">
        <f t="shared" si="33"/>
        <v>1323</v>
      </c>
      <c r="O271" s="12">
        <v>122.28</v>
      </c>
      <c r="P271" s="12">
        <f t="shared" si="28"/>
        <v>199.28</v>
      </c>
      <c r="Q271" s="12">
        <f t="shared" si="34"/>
        <v>1200.72</v>
      </c>
    </row>
    <row r="272" spans="1:83" s="9" customFormat="1" ht="20.100000000000001" customHeight="1" x14ac:dyDescent="0.3">
      <c r="A272" s="9">
        <v>270</v>
      </c>
      <c r="B272" s="9" t="s">
        <v>601</v>
      </c>
      <c r="C272" s="9" t="s">
        <v>602</v>
      </c>
      <c r="D272" s="9" t="s">
        <v>603</v>
      </c>
      <c r="E272" s="10">
        <v>46055</v>
      </c>
      <c r="F272" s="10">
        <v>46234</v>
      </c>
      <c r="G272" s="11">
        <v>1400</v>
      </c>
      <c r="H272" s="12">
        <v>1400</v>
      </c>
      <c r="I272" s="13">
        <v>1</v>
      </c>
      <c r="J272" s="12">
        <f t="shared" si="29"/>
        <v>1400</v>
      </c>
      <c r="K272" s="12">
        <f t="shared" si="30"/>
        <v>77</v>
      </c>
      <c r="L272" s="12">
        <f t="shared" si="31"/>
        <v>182</v>
      </c>
      <c r="M272" s="12">
        <f t="shared" si="32"/>
        <v>1582</v>
      </c>
      <c r="N272" s="12">
        <f t="shared" si="33"/>
        <v>1323</v>
      </c>
      <c r="O272" s="12">
        <v>122.28</v>
      </c>
      <c r="P272" s="12">
        <f t="shared" si="28"/>
        <v>199.28</v>
      </c>
      <c r="Q272" s="12">
        <f t="shared" si="34"/>
        <v>1200.72</v>
      </c>
    </row>
    <row r="273" spans="1:83" s="9" customFormat="1" ht="20.100000000000001" customHeight="1" x14ac:dyDescent="0.3">
      <c r="A273" s="9">
        <v>271</v>
      </c>
      <c r="B273" s="9" t="s">
        <v>604</v>
      </c>
      <c r="C273" s="9" t="s">
        <v>605</v>
      </c>
      <c r="D273" s="9" t="s">
        <v>606</v>
      </c>
      <c r="E273" s="10">
        <v>46055</v>
      </c>
      <c r="F273" s="10">
        <v>46234</v>
      </c>
      <c r="G273" s="11">
        <v>1400</v>
      </c>
      <c r="H273" s="12">
        <v>1400</v>
      </c>
      <c r="I273" s="13">
        <v>1</v>
      </c>
      <c r="J273" s="12">
        <f t="shared" si="29"/>
        <v>1400</v>
      </c>
      <c r="K273" s="12">
        <f t="shared" si="30"/>
        <v>77</v>
      </c>
      <c r="L273" s="12">
        <f t="shared" si="31"/>
        <v>182</v>
      </c>
      <c r="M273" s="12">
        <f t="shared" si="32"/>
        <v>1582</v>
      </c>
      <c r="N273" s="12">
        <f t="shared" si="33"/>
        <v>1323</v>
      </c>
      <c r="O273" s="12">
        <v>122.28</v>
      </c>
      <c r="P273" s="12">
        <f t="shared" si="28"/>
        <v>199.28</v>
      </c>
      <c r="Q273" s="12">
        <f t="shared" si="34"/>
        <v>1200.72</v>
      </c>
    </row>
    <row r="274" spans="1:83" s="9" customFormat="1" ht="20.100000000000001" customHeight="1" x14ac:dyDescent="0.3">
      <c r="A274" s="9">
        <v>272</v>
      </c>
      <c r="B274" s="9" t="s">
        <v>607</v>
      </c>
      <c r="C274" s="9" t="s">
        <v>608</v>
      </c>
      <c r="D274" s="9" t="s">
        <v>606</v>
      </c>
      <c r="E274" s="10">
        <v>46055</v>
      </c>
      <c r="F274" s="10">
        <v>46234</v>
      </c>
      <c r="G274" s="11">
        <v>1400</v>
      </c>
      <c r="H274" s="12">
        <v>1400</v>
      </c>
      <c r="I274" s="13">
        <v>1</v>
      </c>
      <c r="J274" s="12">
        <f t="shared" si="29"/>
        <v>1400</v>
      </c>
      <c r="K274" s="12">
        <f t="shared" si="30"/>
        <v>77</v>
      </c>
      <c r="L274" s="12">
        <f t="shared" si="31"/>
        <v>182</v>
      </c>
      <c r="M274" s="12">
        <f t="shared" si="32"/>
        <v>1582</v>
      </c>
      <c r="N274" s="12">
        <f t="shared" si="33"/>
        <v>1323</v>
      </c>
      <c r="O274" s="12">
        <v>122.28</v>
      </c>
      <c r="P274" s="12">
        <f t="shared" si="28"/>
        <v>199.28</v>
      </c>
      <c r="Q274" s="12">
        <f t="shared" si="34"/>
        <v>1200.72</v>
      </c>
    </row>
    <row r="275" spans="1:83" s="9" customFormat="1" ht="20.100000000000001" customHeight="1" x14ac:dyDescent="0.3">
      <c r="A275" s="9">
        <v>273</v>
      </c>
      <c r="B275" s="9" t="s">
        <v>609</v>
      </c>
      <c r="C275" s="9" t="s">
        <v>610</v>
      </c>
      <c r="D275" s="9" t="s">
        <v>606</v>
      </c>
      <c r="E275" s="10">
        <v>46055</v>
      </c>
      <c r="F275" s="10">
        <v>46234</v>
      </c>
      <c r="G275" s="11">
        <v>1400</v>
      </c>
      <c r="H275" s="12">
        <v>1400</v>
      </c>
      <c r="I275" s="13">
        <v>1</v>
      </c>
      <c r="J275" s="12">
        <f t="shared" si="29"/>
        <v>1400</v>
      </c>
      <c r="K275" s="12">
        <f t="shared" si="30"/>
        <v>77</v>
      </c>
      <c r="L275" s="12">
        <f t="shared" si="31"/>
        <v>182</v>
      </c>
      <c r="M275" s="12">
        <f t="shared" si="32"/>
        <v>1582</v>
      </c>
      <c r="N275" s="12">
        <f t="shared" si="33"/>
        <v>1323</v>
      </c>
      <c r="O275" s="12">
        <v>122.28</v>
      </c>
      <c r="P275" s="12">
        <f t="shared" si="28"/>
        <v>199.28</v>
      </c>
      <c r="Q275" s="12">
        <f t="shared" si="34"/>
        <v>1200.72</v>
      </c>
    </row>
    <row r="276" spans="1:83" s="19" customFormat="1" ht="20.100000000000001" customHeight="1" x14ac:dyDescent="0.3">
      <c r="A276" s="9">
        <v>274</v>
      </c>
      <c r="B276" s="9" t="s">
        <v>611</v>
      </c>
      <c r="C276" s="9" t="s">
        <v>612</v>
      </c>
      <c r="D276" s="9" t="s">
        <v>310</v>
      </c>
      <c r="E276" s="10">
        <v>46055</v>
      </c>
      <c r="F276" s="10">
        <v>46234</v>
      </c>
      <c r="G276" s="11">
        <v>1400</v>
      </c>
      <c r="H276" s="12">
        <v>1400</v>
      </c>
      <c r="I276" s="13">
        <v>1</v>
      </c>
      <c r="J276" s="12">
        <f t="shared" si="29"/>
        <v>1400</v>
      </c>
      <c r="K276" s="12">
        <f t="shared" si="30"/>
        <v>77</v>
      </c>
      <c r="L276" s="12">
        <f t="shared" si="31"/>
        <v>182</v>
      </c>
      <c r="M276" s="12">
        <f t="shared" si="32"/>
        <v>1582</v>
      </c>
      <c r="N276" s="12">
        <f t="shared" si="33"/>
        <v>1323</v>
      </c>
      <c r="O276" s="12">
        <v>122.28</v>
      </c>
      <c r="P276" s="12">
        <f t="shared" si="28"/>
        <v>199.28</v>
      </c>
      <c r="Q276" s="12">
        <f t="shared" si="34"/>
        <v>1200.72</v>
      </c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</row>
    <row r="277" spans="1:83" s="9" customFormat="1" ht="20.100000000000001" customHeight="1" x14ac:dyDescent="0.3">
      <c r="A277" s="9">
        <v>275</v>
      </c>
      <c r="B277" s="9" t="s">
        <v>613</v>
      </c>
      <c r="C277" s="9" t="s">
        <v>614</v>
      </c>
      <c r="D277" s="9" t="s">
        <v>603</v>
      </c>
      <c r="E277" s="10">
        <v>46055</v>
      </c>
      <c r="F277" s="10">
        <v>46234</v>
      </c>
      <c r="G277" s="11">
        <v>1400</v>
      </c>
      <c r="H277" s="12">
        <v>1400</v>
      </c>
      <c r="I277" s="13">
        <v>1</v>
      </c>
      <c r="J277" s="12">
        <f t="shared" si="29"/>
        <v>1400</v>
      </c>
      <c r="K277" s="12">
        <f t="shared" si="30"/>
        <v>77</v>
      </c>
      <c r="L277" s="12">
        <f t="shared" si="31"/>
        <v>182</v>
      </c>
      <c r="M277" s="12">
        <f t="shared" si="32"/>
        <v>1582</v>
      </c>
      <c r="N277" s="12">
        <f t="shared" si="33"/>
        <v>1323</v>
      </c>
      <c r="O277" s="12">
        <v>122.28</v>
      </c>
      <c r="P277" s="12">
        <f t="shared" si="28"/>
        <v>199.28</v>
      </c>
      <c r="Q277" s="12">
        <f t="shared" si="34"/>
        <v>1200.72</v>
      </c>
    </row>
    <row r="278" spans="1:83" s="9" customFormat="1" ht="20.100000000000001" customHeight="1" x14ac:dyDescent="0.3">
      <c r="A278" s="9">
        <v>276</v>
      </c>
      <c r="B278" s="9" t="s">
        <v>615</v>
      </c>
      <c r="C278" s="9" t="s">
        <v>616</v>
      </c>
      <c r="D278" s="9" t="s">
        <v>603</v>
      </c>
      <c r="E278" s="10">
        <v>46055</v>
      </c>
      <c r="F278" s="10">
        <v>46234</v>
      </c>
      <c r="G278" s="11">
        <v>1400</v>
      </c>
      <c r="H278" s="12">
        <v>1400</v>
      </c>
      <c r="I278" s="13">
        <v>1</v>
      </c>
      <c r="J278" s="12">
        <f t="shared" si="29"/>
        <v>1400</v>
      </c>
      <c r="K278" s="12">
        <f t="shared" si="30"/>
        <v>77</v>
      </c>
      <c r="L278" s="12">
        <f t="shared" si="31"/>
        <v>182</v>
      </c>
      <c r="M278" s="12">
        <f t="shared" si="32"/>
        <v>1582</v>
      </c>
      <c r="N278" s="12">
        <f t="shared" si="33"/>
        <v>1323</v>
      </c>
      <c r="O278" s="12">
        <v>122.28</v>
      </c>
      <c r="P278" s="12">
        <f t="shared" si="28"/>
        <v>199.28</v>
      </c>
      <c r="Q278" s="12">
        <f t="shared" si="34"/>
        <v>1200.72</v>
      </c>
    </row>
    <row r="279" spans="1:83" s="9" customFormat="1" ht="20.100000000000001" customHeight="1" x14ac:dyDescent="0.3">
      <c r="A279" s="9">
        <v>277</v>
      </c>
      <c r="B279" s="9" t="s">
        <v>617</v>
      </c>
      <c r="C279" s="9" t="s">
        <v>618</v>
      </c>
      <c r="D279" s="9" t="s">
        <v>603</v>
      </c>
      <c r="E279" s="10">
        <v>46055</v>
      </c>
      <c r="F279" s="10">
        <v>46234</v>
      </c>
      <c r="G279" s="11">
        <v>1400</v>
      </c>
      <c r="H279" s="12">
        <v>1400</v>
      </c>
      <c r="I279" s="13">
        <v>1</v>
      </c>
      <c r="J279" s="12">
        <f t="shared" si="29"/>
        <v>1400</v>
      </c>
      <c r="K279" s="12">
        <f t="shared" si="30"/>
        <v>77</v>
      </c>
      <c r="L279" s="12">
        <f t="shared" si="31"/>
        <v>182</v>
      </c>
      <c r="M279" s="12">
        <f t="shared" si="32"/>
        <v>1582</v>
      </c>
      <c r="N279" s="12">
        <f t="shared" si="33"/>
        <v>1323</v>
      </c>
      <c r="O279" s="12">
        <v>122.28</v>
      </c>
      <c r="P279" s="12">
        <f t="shared" si="28"/>
        <v>199.28</v>
      </c>
      <c r="Q279" s="12">
        <f t="shared" si="34"/>
        <v>1200.72</v>
      </c>
    </row>
    <row r="280" spans="1:83" s="9" customFormat="1" ht="20.100000000000001" customHeight="1" x14ac:dyDescent="0.3">
      <c r="A280" s="9">
        <v>278</v>
      </c>
      <c r="B280" s="9" t="s">
        <v>619</v>
      </c>
      <c r="C280" s="9" t="s">
        <v>620</v>
      </c>
      <c r="D280" s="9" t="s">
        <v>603</v>
      </c>
      <c r="E280" s="10">
        <v>46055</v>
      </c>
      <c r="F280" s="10">
        <v>46234</v>
      </c>
      <c r="G280" s="11">
        <v>1400</v>
      </c>
      <c r="H280" s="12">
        <v>1400</v>
      </c>
      <c r="I280" s="13">
        <v>1</v>
      </c>
      <c r="J280" s="12">
        <f t="shared" si="29"/>
        <v>1400</v>
      </c>
      <c r="K280" s="12">
        <f t="shared" si="30"/>
        <v>77</v>
      </c>
      <c r="L280" s="12">
        <f t="shared" si="31"/>
        <v>182</v>
      </c>
      <c r="M280" s="12">
        <f t="shared" si="32"/>
        <v>1582</v>
      </c>
      <c r="N280" s="12">
        <f t="shared" si="33"/>
        <v>1323</v>
      </c>
      <c r="O280" s="12">
        <v>122.28</v>
      </c>
      <c r="P280" s="12">
        <f t="shared" ref="P280:P343" si="35">K280+O280</f>
        <v>199.28</v>
      </c>
      <c r="Q280" s="12">
        <f t="shared" si="34"/>
        <v>1200.72</v>
      </c>
    </row>
    <row r="281" spans="1:83" s="9" customFormat="1" ht="20.100000000000001" customHeight="1" x14ac:dyDescent="0.3">
      <c r="A281" s="9">
        <v>279</v>
      </c>
      <c r="B281" s="9" t="s">
        <v>621</v>
      </c>
      <c r="C281" s="9" t="s">
        <v>622</v>
      </c>
      <c r="D281" s="9" t="s">
        <v>603</v>
      </c>
      <c r="E281" s="10">
        <v>46055</v>
      </c>
      <c r="F281" s="10">
        <v>46234</v>
      </c>
      <c r="G281" s="11">
        <v>1400</v>
      </c>
      <c r="H281" s="12">
        <v>1400</v>
      </c>
      <c r="I281" s="13">
        <v>1</v>
      </c>
      <c r="J281" s="12">
        <f t="shared" si="29"/>
        <v>1400</v>
      </c>
      <c r="K281" s="12">
        <f t="shared" si="30"/>
        <v>77</v>
      </c>
      <c r="L281" s="12">
        <f t="shared" si="31"/>
        <v>182</v>
      </c>
      <c r="M281" s="12">
        <f t="shared" si="32"/>
        <v>1582</v>
      </c>
      <c r="N281" s="12">
        <f t="shared" si="33"/>
        <v>1323</v>
      </c>
      <c r="O281" s="12">
        <v>122.28</v>
      </c>
      <c r="P281" s="12">
        <f t="shared" si="35"/>
        <v>199.28</v>
      </c>
      <c r="Q281" s="12">
        <f t="shared" si="34"/>
        <v>1200.72</v>
      </c>
    </row>
    <row r="282" spans="1:83" s="9" customFormat="1" ht="20.100000000000001" customHeight="1" x14ac:dyDescent="0.3">
      <c r="A282" s="9">
        <v>280</v>
      </c>
      <c r="B282" s="9" t="s">
        <v>623</v>
      </c>
      <c r="C282" s="9" t="s">
        <v>624</v>
      </c>
      <c r="D282" s="9" t="s">
        <v>603</v>
      </c>
      <c r="E282" s="10">
        <v>46055</v>
      </c>
      <c r="F282" s="10">
        <v>46234</v>
      </c>
      <c r="G282" s="11">
        <v>1400</v>
      </c>
      <c r="H282" s="12">
        <v>1400</v>
      </c>
      <c r="I282" s="13">
        <v>1</v>
      </c>
      <c r="J282" s="12">
        <f t="shared" si="29"/>
        <v>1400</v>
      </c>
      <c r="K282" s="12">
        <f t="shared" si="30"/>
        <v>77</v>
      </c>
      <c r="L282" s="12">
        <f t="shared" si="31"/>
        <v>182</v>
      </c>
      <c r="M282" s="12">
        <f t="shared" si="32"/>
        <v>1582</v>
      </c>
      <c r="N282" s="12">
        <f t="shared" si="33"/>
        <v>1323</v>
      </c>
      <c r="O282" s="12">
        <v>122.28</v>
      </c>
      <c r="P282" s="12">
        <f t="shared" si="35"/>
        <v>199.28</v>
      </c>
      <c r="Q282" s="12">
        <f t="shared" si="34"/>
        <v>1200.72</v>
      </c>
    </row>
    <row r="283" spans="1:83" ht="20.100000000000001" customHeight="1" x14ac:dyDescent="0.3">
      <c r="A283" s="9">
        <v>281</v>
      </c>
      <c r="B283" s="9" t="s">
        <v>625</v>
      </c>
      <c r="C283" s="9" t="s">
        <v>626</v>
      </c>
      <c r="D283" s="9" t="s">
        <v>603</v>
      </c>
      <c r="E283" s="10">
        <v>46055</v>
      </c>
      <c r="F283" s="10">
        <v>46234</v>
      </c>
      <c r="G283" s="11">
        <v>1400</v>
      </c>
      <c r="H283" s="12">
        <v>1400</v>
      </c>
      <c r="I283" s="13">
        <v>1</v>
      </c>
      <c r="J283" s="12">
        <f t="shared" si="29"/>
        <v>1400</v>
      </c>
      <c r="K283" s="12">
        <f t="shared" si="30"/>
        <v>77</v>
      </c>
      <c r="L283" s="12">
        <f t="shared" si="31"/>
        <v>182</v>
      </c>
      <c r="M283" s="12">
        <f t="shared" si="32"/>
        <v>1582</v>
      </c>
      <c r="N283" s="12">
        <f t="shared" si="33"/>
        <v>1323</v>
      </c>
      <c r="O283" s="12">
        <v>122.28</v>
      </c>
      <c r="P283" s="12">
        <f t="shared" si="35"/>
        <v>199.28</v>
      </c>
      <c r="Q283" s="12">
        <f t="shared" si="34"/>
        <v>1200.72</v>
      </c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</row>
    <row r="284" spans="1:83" s="19" customFormat="1" ht="20.100000000000001" customHeight="1" x14ac:dyDescent="0.3">
      <c r="A284" s="9">
        <v>282</v>
      </c>
      <c r="B284" s="9" t="s">
        <v>627</v>
      </c>
      <c r="C284" s="17" t="s">
        <v>628</v>
      </c>
      <c r="D284" s="9" t="s">
        <v>603</v>
      </c>
      <c r="E284" s="10">
        <v>46055</v>
      </c>
      <c r="F284" s="10">
        <v>46234</v>
      </c>
      <c r="G284" s="11">
        <v>1400</v>
      </c>
      <c r="H284" s="12">
        <v>1400</v>
      </c>
      <c r="I284" s="13">
        <v>1</v>
      </c>
      <c r="J284" s="12">
        <f t="shared" si="29"/>
        <v>1400</v>
      </c>
      <c r="K284" s="12">
        <f t="shared" si="30"/>
        <v>77</v>
      </c>
      <c r="L284" s="12">
        <f t="shared" si="31"/>
        <v>182</v>
      </c>
      <c r="M284" s="12">
        <f t="shared" si="32"/>
        <v>1582</v>
      </c>
      <c r="N284" s="12">
        <f t="shared" si="33"/>
        <v>1323</v>
      </c>
      <c r="O284" s="12">
        <v>122.28</v>
      </c>
      <c r="P284" s="12">
        <f t="shared" si="35"/>
        <v>199.28</v>
      </c>
      <c r="Q284" s="12">
        <f t="shared" si="34"/>
        <v>1200.72</v>
      </c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</row>
    <row r="285" spans="1:83" s="16" customFormat="1" ht="20.100000000000001" customHeight="1" x14ac:dyDescent="0.3">
      <c r="A285" s="9">
        <v>283</v>
      </c>
      <c r="B285" s="9" t="s">
        <v>629</v>
      </c>
      <c r="C285" s="9" t="s">
        <v>630</v>
      </c>
      <c r="D285" s="9" t="s">
        <v>603</v>
      </c>
      <c r="E285" s="10">
        <v>46055</v>
      </c>
      <c r="F285" s="10">
        <v>46234</v>
      </c>
      <c r="G285" s="11">
        <v>1400</v>
      </c>
      <c r="H285" s="12">
        <v>1400</v>
      </c>
      <c r="I285" s="13">
        <v>1</v>
      </c>
      <c r="J285" s="12">
        <f t="shared" si="29"/>
        <v>1400</v>
      </c>
      <c r="K285" s="12">
        <f t="shared" si="30"/>
        <v>77</v>
      </c>
      <c r="L285" s="12">
        <f t="shared" si="31"/>
        <v>182</v>
      </c>
      <c r="M285" s="12">
        <f t="shared" si="32"/>
        <v>1582</v>
      </c>
      <c r="N285" s="12">
        <f t="shared" si="33"/>
        <v>1323</v>
      </c>
      <c r="O285" s="12">
        <v>122.28</v>
      </c>
      <c r="P285" s="12">
        <f t="shared" si="35"/>
        <v>199.28</v>
      </c>
      <c r="Q285" s="12">
        <f t="shared" si="34"/>
        <v>1200.72</v>
      </c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</row>
    <row r="286" spans="1:83" s="9" customFormat="1" ht="20.100000000000001" customHeight="1" x14ac:dyDescent="0.3">
      <c r="A286" s="9">
        <v>284</v>
      </c>
      <c r="B286" s="9" t="s">
        <v>631</v>
      </c>
      <c r="C286" s="9" t="s">
        <v>632</v>
      </c>
      <c r="D286" s="9" t="s">
        <v>603</v>
      </c>
      <c r="E286" s="10">
        <v>46055</v>
      </c>
      <c r="F286" s="10">
        <v>46234</v>
      </c>
      <c r="G286" s="11">
        <v>1400</v>
      </c>
      <c r="H286" s="12">
        <v>1400</v>
      </c>
      <c r="I286" s="13">
        <v>1</v>
      </c>
      <c r="J286" s="12">
        <f t="shared" si="29"/>
        <v>1400</v>
      </c>
      <c r="K286" s="12">
        <f t="shared" si="30"/>
        <v>77</v>
      </c>
      <c r="L286" s="12">
        <f t="shared" si="31"/>
        <v>182</v>
      </c>
      <c r="M286" s="12">
        <f t="shared" si="32"/>
        <v>1582</v>
      </c>
      <c r="N286" s="12">
        <f t="shared" si="33"/>
        <v>1323</v>
      </c>
      <c r="O286" s="12">
        <v>122.28</v>
      </c>
      <c r="P286" s="12">
        <f t="shared" si="35"/>
        <v>199.28</v>
      </c>
      <c r="Q286" s="12">
        <f t="shared" si="34"/>
        <v>1200.72</v>
      </c>
    </row>
    <row r="287" spans="1:83" s="9" customFormat="1" ht="20.100000000000001" customHeight="1" x14ac:dyDescent="0.3">
      <c r="A287" s="9">
        <v>285</v>
      </c>
      <c r="B287" s="9" t="s">
        <v>633</v>
      </c>
      <c r="C287" s="9" t="s">
        <v>634</v>
      </c>
      <c r="D287" s="9" t="s">
        <v>603</v>
      </c>
      <c r="E287" s="10">
        <v>46055</v>
      </c>
      <c r="F287" s="10">
        <v>46234</v>
      </c>
      <c r="G287" s="11">
        <v>1400</v>
      </c>
      <c r="H287" s="12">
        <v>1400</v>
      </c>
      <c r="I287" s="13">
        <v>1</v>
      </c>
      <c r="J287" s="12">
        <f t="shared" si="29"/>
        <v>1400</v>
      </c>
      <c r="K287" s="12">
        <f t="shared" si="30"/>
        <v>77</v>
      </c>
      <c r="L287" s="12">
        <f t="shared" si="31"/>
        <v>182</v>
      </c>
      <c r="M287" s="12">
        <f t="shared" si="32"/>
        <v>1582</v>
      </c>
      <c r="N287" s="12">
        <f t="shared" si="33"/>
        <v>1323</v>
      </c>
      <c r="O287" s="12">
        <v>122.28</v>
      </c>
      <c r="P287" s="12">
        <f t="shared" si="35"/>
        <v>199.28</v>
      </c>
      <c r="Q287" s="12">
        <f t="shared" si="34"/>
        <v>1200.72</v>
      </c>
    </row>
    <row r="288" spans="1:83" s="9" customFormat="1" ht="20.100000000000001" customHeight="1" x14ac:dyDescent="0.3">
      <c r="A288" s="9">
        <v>286</v>
      </c>
      <c r="B288" s="9" t="s">
        <v>635</v>
      </c>
      <c r="C288" s="9" t="s">
        <v>636</v>
      </c>
      <c r="D288" s="9" t="s">
        <v>42</v>
      </c>
      <c r="E288" s="10">
        <v>46083</v>
      </c>
      <c r="F288" s="10">
        <v>46265</v>
      </c>
      <c r="G288" s="11">
        <v>1400</v>
      </c>
      <c r="H288" s="12">
        <v>1400</v>
      </c>
      <c r="I288" s="13">
        <v>1</v>
      </c>
      <c r="J288" s="12">
        <f t="shared" si="29"/>
        <v>1400</v>
      </c>
      <c r="K288" s="12">
        <f t="shared" si="30"/>
        <v>77</v>
      </c>
      <c r="L288" s="12">
        <f t="shared" si="31"/>
        <v>182</v>
      </c>
      <c r="M288" s="12">
        <f t="shared" si="32"/>
        <v>1582</v>
      </c>
      <c r="N288" s="12">
        <f t="shared" si="33"/>
        <v>1323</v>
      </c>
      <c r="O288" s="12">
        <v>122.28</v>
      </c>
      <c r="P288" s="12">
        <f t="shared" si="35"/>
        <v>199.28</v>
      </c>
      <c r="Q288" s="12">
        <f t="shared" si="34"/>
        <v>1200.72</v>
      </c>
    </row>
    <row r="289" spans="1:83" s="9" customFormat="1" ht="20.100000000000001" customHeight="1" x14ac:dyDescent="0.3">
      <c r="A289" s="9">
        <v>287</v>
      </c>
      <c r="B289" s="9" t="s">
        <v>637</v>
      </c>
      <c r="C289" s="9" t="s">
        <v>638</v>
      </c>
      <c r="D289" s="9" t="s">
        <v>192</v>
      </c>
      <c r="E289" s="10">
        <v>46083</v>
      </c>
      <c r="F289" s="10">
        <v>46265</v>
      </c>
      <c r="G289" s="11">
        <v>1400</v>
      </c>
      <c r="H289" s="12">
        <v>1400</v>
      </c>
      <c r="I289" s="13">
        <v>1</v>
      </c>
      <c r="J289" s="12">
        <f t="shared" si="29"/>
        <v>1400</v>
      </c>
      <c r="K289" s="12">
        <f t="shared" si="30"/>
        <v>77</v>
      </c>
      <c r="L289" s="12">
        <f t="shared" si="31"/>
        <v>182</v>
      </c>
      <c r="M289" s="12">
        <f t="shared" si="32"/>
        <v>1582</v>
      </c>
      <c r="N289" s="12">
        <f t="shared" si="33"/>
        <v>1323</v>
      </c>
      <c r="O289" s="12">
        <v>122.28</v>
      </c>
      <c r="P289" s="12">
        <f t="shared" si="35"/>
        <v>199.28</v>
      </c>
      <c r="Q289" s="12">
        <f t="shared" si="34"/>
        <v>1200.72</v>
      </c>
    </row>
    <row r="290" spans="1:83" s="9" customFormat="1" ht="20.100000000000001" customHeight="1" x14ac:dyDescent="0.3">
      <c r="A290" s="9">
        <v>288</v>
      </c>
      <c r="B290" s="9" t="s">
        <v>639</v>
      </c>
      <c r="C290" s="9" t="s">
        <v>640</v>
      </c>
      <c r="D290" s="9" t="s">
        <v>23</v>
      </c>
      <c r="E290" s="10">
        <v>46113</v>
      </c>
      <c r="F290" s="10">
        <v>46295</v>
      </c>
      <c r="G290" s="11">
        <v>1400</v>
      </c>
      <c r="H290" s="12">
        <v>1400</v>
      </c>
      <c r="I290" s="13">
        <v>1</v>
      </c>
      <c r="J290" s="12">
        <f t="shared" si="29"/>
        <v>1400</v>
      </c>
      <c r="K290" s="12">
        <f t="shared" si="30"/>
        <v>77</v>
      </c>
      <c r="L290" s="12">
        <f t="shared" si="31"/>
        <v>182</v>
      </c>
      <c r="M290" s="12">
        <f t="shared" si="32"/>
        <v>1582</v>
      </c>
      <c r="N290" s="12">
        <f t="shared" si="33"/>
        <v>1323</v>
      </c>
      <c r="O290" s="12">
        <v>122.28</v>
      </c>
      <c r="P290" s="12">
        <f t="shared" si="35"/>
        <v>199.28</v>
      </c>
      <c r="Q290" s="12">
        <f t="shared" si="34"/>
        <v>1200.72</v>
      </c>
    </row>
    <row r="291" spans="1:83" s="9" customFormat="1" ht="20.100000000000001" customHeight="1" x14ac:dyDescent="0.3">
      <c r="A291" s="9">
        <v>289</v>
      </c>
      <c r="B291" s="9" t="s">
        <v>641</v>
      </c>
      <c r="C291" s="9" t="s">
        <v>642</v>
      </c>
      <c r="D291" s="9" t="s">
        <v>296</v>
      </c>
      <c r="E291" s="10">
        <v>46113</v>
      </c>
      <c r="F291" s="10">
        <v>46295</v>
      </c>
      <c r="G291" s="11">
        <v>1400</v>
      </c>
      <c r="H291" s="12">
        <v>1400</v>
      </c>
      <c r="I291" s="13">
        <v>1</v>
      </c>
      <c r="J291" s="12">
        <f t="shared" si="29"/>
        <v>1400</v>
      </c>
      <c r="K291" s="12">
        <f t="shared" si="30"/>
        <v>77</v>
      </c>
      <c r="L291" s="12">
        <f t="shared" si="31"/>
        <v>182</v>
      </c>
      <c r="M291" s="12">
        <f t="shared" si="32"/>
        <v>1582</v>
      </c>
      <c r="N291" s="12">
        <f t="shared" si="33"/>
        <v>1323</v>
      </c>
      <c r="O291" s="12">
        <v>122.28</v>
      </c>
      <c r="P291" s="12">
        <f t="shared" si="35"/>
        <v>199.28</v>
      </c>
      <c r="Q291" s="12">
        <f t="shared" si="34"/>
        <v>1200.72</v>
      </c>
    </row>
    <row r="292" spans="1:83" s="9" customFormat="1" ht="20.100000000000001" customHeight="1" x14ac:dyDescent="0.3">
      <c r="A292" s="9">
        <v>290</v>
      </c>
      <c r="B292" s="9" t="s">
        <v>643</v>
      </c>
      <c r="C292" s="9" t="s">
        <v>644</v>
      </c>
      <c r="D292" s="9" t="s">
        <v>124</v>
      </c>
      <c r="E292" s="15">
        <v>46113</v>
      </c>
      <c r="F292" s="15">
        <v>46295</v>
      </c>
      <c r="G292" s="11">
        <v>1400</v>
      </c>
      <c r="H292" s="12">
        <v>1400</v>
      </c>
      <c r="I292" s="13">
        <v>1</v>
      </c>
      <c r="J292" s="12">
        <f t="shared" si="29"/>
        <v>1400</v>
      </c>
      <c r="K292" s="12">
        <f t="shared" si="30"/>
        <v>77</v>
      </c>
      <c r="L292" s="12">
        <f t="shared" si="31"/>
        <v>182</v>
      </c>
      <c r="M292" s="12">
        <f t="shared" si="32"/>
        <v>1582</v>
      </c>
      <c r="N292" s="12">
        <f t="shared" si="33"/>
        <v>1323</v>
      </c>
      <c r="O292" s="12">
        <v>122.28</v>
      </c>
      <c r="P292" s="12">
        <f t="shared" si="35"/>
        <v>199.28</v>
      </c>
      <c r="Q292" s="12">
        <f t="shared" si="34"/>
        <v>1200.72</v>
      </c>
    </row>
    <row r="293" spans="1:83" s="9" customFormat="1" ht="20.100000000000001" customHeight="1" x14ac:dyDescent="0.3">
      <c r="A293" s="9">
        <v>291</v>
      </c>
      <c r="B293" s="9" t="s">
        <v>645</v>
      </c>
      <c r="C293" s="9" t="s">
        <v>646</v>
      </c>
      <c r="D293" s="9" t="s">
        <v>274</v>
      </c>
      <c r="E293" s="10">
        <v>46113</v>
      </c>
      <c r="F293" s="10">
        <v>46295</v>
      </c>
      <c r="G293" s="11">
        <v>1400</v>
      </c>
      <c r="H293" s="12">
        <v>1400</v>
      </c>
      <c r="I293" s="13">
        <v>1</v>
      </c>
      <c r="J293" s="12">
        <f t="shared" si="29"/>
        <v>1400</v>
      </c>
      <c r="K293" s="12">
        <f t="shared" si="30"/>
        <v>77</v>
      </c>
      <c r="L293" s="12">
        <f t="shared" si="31"/>
        <v>182</v>
      </c>
      <c r="M293" s="12">
        <f t="shared" si="32"/>
        <v>1582</v>
      </c>
      <c r="N293" s="12">
        <f t="shared" si="33"/>
        <v>1323</v>
      </c>
      <c r="O293" s="12">
        <v>122.28</v>
      </c>
      <c r="P293" s="12">
        <f t="shared" si="35"/>
        <v>199.28</v>
      </c>
      <c r="Q293" s="12">
        <f t="shared" si="34"/>
        <v>1200.72</v>
      </c>
    </row>
    <row r="294" spans="1:83" s="9" customFormat="1" ht="20.100000000000001" customHeight="1" x14ac:dyDescent="0.3">
      <c r="A294" s="9">
        <v>292</v>
      </c>
      <c r="B294" s="9" t="s">
        <v>647</v>
      </c>
      <c r="C294" s="9" t="s">
        <v>648</v>
      </c>
      <c r="D294" s="9" t="s">
        <v>310</v>
      </c>
      <c r="E294" s="10">
        <v>46113</v>
      </c>
      <c r="F294" s="10">
        <v>46295</v>
      </c>
      <c r="G294" s="11">
        <v>1400</v>
      </c>
      <c r="H294" s="12">
        <v>1400</v>
      </c>
      <c r="I294" s="13">
        <v>1</v>
      </c>
      <c r="J294" s="12">
        <f t="shared" si="29"/>
        <v>1400</v>
      </c>
      <c r="K294" s="12">
        <f t="shared" si="30"/>
        <v>77</v>
      </c>
      <c r="L294" s="12">
        <f t="shared" si="31"/>
        <v>182</v>
      </c>
      <c r="M294" s="12">
        <f t="shared" si="32"/>
        <v>1582</v>
      </c>
      <c r="N294" s="12">
        <f t="shared" si="33"/>
        <v>1323</v>
      </c>
      <c r="O294" s="12">
        <v>122.28</v>
      </c>
      <c r="P294" s="12">
        <f t="shared" si="35"/>
        <v>199.28</v>
      </c>
      <c r="Q294" s="12">
        <f t="shared" si="34"/>
        <v>1200.72</v>
      </c>
    </row>
    <row r="295" spans="1:83" s="9" customFormat="1" ht="20.100000000000001" customHeight="1" x14ac:dyDescent="0.3">
      <c r="A295" s="9">
        <v>293</v>
      </c>
      <c r="B295" s="9" t="s">
        <v>649</v>
      </c>
      <c r="C295" s="9" t="s">
        <v>650</v>
      </c>
      <c r="D295" s="9" t="s">
        <v>87</v>
      </c>
      <c r="E295" s="15">
        <v>46113</v>
      </c>
      <c r="F295" s="15">
        <v>46295</v>
      </c>
      <c r="G295" s="11">
        <v>1400</v>
      </c>
      <c r="H295" s="12">
        <v>1400</v>
      </c>
      <c r="I295" s="13">
        <v>1</v>
      </c>
      <c r="J295" s="12">
        <f t="shared" si="29"/>
        <v>1400</v>
      </c>
      <c r="K295" s="12">
        <f t="shared" si="30"/>
        <v>77</v>
      </c>
      <c r="L295" s="12">
        <f t="shared" si="31"/>
        <v>182</v>
      </c>
      <c r="M295" s="12">
        <f t="shared" si="32"/>
        <v>1582</v>
      </c>
      <c r="N295" s="12">
        <f t="shared" si="33"/>
        <v>1323</v>
      </c>
      <c r="O295" s="12">
        <v>122.28</v>
      </c>
      <c r="P295" s="12">
        <f t="shared" si="35"/>
        <v>199.28</v>
      </c>
      <c r="Q295" s="12">
        <f t="shared" si="34"/>
        <v>1200.72</v>
      </c>
    </row>
    <row r="296" spans="1:83" s="9" customFormat="1" ht="20.100000000000001" customHeight="1" x14ac:dyDescent="0.3">
      <c r="A296" s="9">
        <v>294</v>
      </c>
      <c r="B296" s="9" t="s">
        <v>651</v>
      </c>
      <c r="C296" s="17" t="s">
        <v>652</v>
      </c>
      <c r="D296" s="9" t="s">
        <v>353</v>
      </c>
      <c r="E296" s="10">
        <v>46113</v>
      </c>
      <c r="F296" s="10">
        <v>46295</v>
      </c>
      <c r="G296" s="11">
        <v>1400</v>
      </c>
      <c r="H296" s="12">
        <v>1400</v>
      </c>
      <c r="I296" s="13">
        <v>1</v>
      </c>
      <c r="J296" s="12">
        <f t="shared" si="29"/>
        <v>1400</v>
      </c>
      <c r="K296" s="12">
        <f t="shared" si="30"/>
        <v>77</v>
      </c>
      <c r="L296" s="12">
        <f t="shared" si="31"/>
        <v>182</v>
      </c>
      <c r="M296" s="12">
        <f t="shared" si="32"/>
        <v>1582</v>
      </c>
      <c r="N296" s="12">
        <f t="shared" si="33"/>
        <v>1323</v>
      </c>
      <c r="O296" s="12">
        <v>122.28</v>
      </c>
      <c r="P296" s="12">
        <f t="shared" si="35"/>
        <v>199.28</v>
      </c>
      <c r="Q296" s="12">
        <f t="shared" si="34"/>
        <v>1200.72</v>
      </c>
    </row>
    <row r="297" spans="1:83" s="16" customFormat="1" ht="20.100000000000001" customHeight="1" x14ac:dyDescent="0.3">
      <c r="A297" s="9">
        <v>295</v>
      </c>
      <c r="B297" s="9" t="s">
        <v>653</v>
      </c>
      <c r="C297" s="17" t="s">
        <v>654</v>
      </c>
      <c r="D297" s="9" t="s">
        <v>353</v>
      </c>
      <c r="E297" s="10">
        <v>46113</v>
      </c>
      <c r="F297" s="10">
        <v>46295</v>
      </c>
      <c r="G297" s="11">
        <v>1400</v>
      </c>
      <c r="H297" s="12">
        <v>1400</v>
      </c>
      <c r="I297" s="13">
        <v>1</v>
      </c>
      <c r="J297" s="12">
        <f t="shared" si="29"/>
        <v>1400</v>
      </c>
      <c r="K297" s="12">
        <f t="shared" si="30"/>
        <v>77</v>
      </c>
      <c r="L297" s="12">
        <f t="shared" si="31"/>
        <v>182</v>
      </c>
      <c r="M297" s="12">
        <f t="shared" si="32"/>
        <v>1582</v>
      </c>
      <c r="N297" s="12">
        <f t="shared" si="33"/>
        <v>1323</v>
      </c>
      <c r="O297" s="12">
        <v>122.28</v>
      </c>
      <c r="P297" s="12">
        <f t="shared" si="35"/>
        <v>199.28</v>
      </c>
      <c r="Q297" s="12">
        <f t="shared" si="34"/>
        <v>1200.72</v>
      </c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</row>
    <row r="298" spans="1:83" s="9" customFormat="1" ht="20.100000000000001" customHeight="1" x14ac:dyDescent="0.3">
      <c r="A298" s="9">
        <v>296</v>
      </c>
      <c r="B298" s="9" t="s">
        <v>655</v>
      </c>
      <c r="C298" s="9" t="s">
        <v>656</v>
      </c>
      <c r="D298" s="9" t="s">
        <v>87</v>
      </c>
      <c r="E298" s="15">
        <v>46113</v>
      </c>
      <c r="F298" s="15">
        <v>46266</v>
      </c>
      <c r="G298" s="11">
        <v>1400</v>
      </c>
      <c r="H298" s="12">
        <v>1400</v>
      </c>
      <c r="I298" s="13">
        <v>1</v>
      </c>
      <c r="J298" s="12">
        <f t="shared" si="29"/>
        <v>1400</v>
      </c>
      <c r="K298" s="12">
        <f t="shared" si="30"/>
        <v>77</v>
      </c>
      <c r="L298" s="12">
        <f t="shared" si="31"/>
        <v>182</v>
      </c>
      <c r="M298" s="12">
        <f t="shared" si="32"/>
        <v>1582</v>
      </c>
      <c r="N298" s="12">
        <f t="shared" si="33"/>
        <v>1323</v>
      </c>
      <c r="O298" s="12">
        <v>122.28</v>
      </c>
      <c r="P298" s="12">
        <f t="shared" si="35"/>
        <v>199.28</v>
      </c>
      <c r="Q298" s="12">
        <f t="shared" si="34"/>
        <v>1200.72</v>
      </c>
    </row>
    <row r="299" spans="1:83" s="16" customFormat="1" ht="20.100000000000001" customHeight="1" x14ac:dyDescent="0.3">
      <c r="A299" s="9">
        <v>297</v>
      </c>
      <c r="B299" s="9" t="s">
        <v>657</v>
      </c>
      <c r="C299" s="9" t="s">
        <v>658</v>
      </c>
      <c r="D299" s="9" t="s">
        <v>166</v>
      </c>
      <c r="E299" s="10">
        <v>46083</v>
      </c>
      <c r="F299" s="10">
        <v>46265</v>
      </c>
      <c r="G299" s="11">
        <v>1400</v>
      </c>
      <c r="H299" s="12">
        <v>1400</v>
      </c>
      <c r="I299" s="13">
        <v>1</v>
      </c>
      <c r="J299" s="12">
        <f t="shared" si="29"/>
        <v>1400</v>
      </c>
      <c r="K299" s="12">
        <f t="shared" si="30"/>
        <v>77</v>
      </c>
      <c r="L299" s="12">
        <f t="shared" si="31"/>
        <v>182</v>
      </c>
      <c r="M299" s="12">
        <f t="shared" si="32"/>
        <v>1582</v>
      </c>
      <c r="N299" s="12">
        <f t="shared" si="33"/>
        <v>1323</v>
      </c>
      <c r="O299" s="12">
        <v>122.28</v>
      </c>
      <c r="P299" s="12">
        <f t="shared" si="35"/>
        <v>199.28</v>
      </c>
      <c r="Q299" s="12">
        <f t="shared" si="34"/>
        <v>1200.72</v>
      </c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</row>
    <row r="300" spans="1:83" s="9" customFormat="1" ht="20.100000000000001" customHeight="1" x14ac:dyDescent="0.3">
      <c r="A300" s="9">
        <v>298</v>
      </c>
      <c r="B300" s="9" t="s">
        <v>659</v>
      </c>
      <c r="C300" s="9" t="s">
        <v>660</v>
      </c>
      <c r="D300" s="9" t="s">
        <v>23</v>
      </c>
      <c r="E300" s="15">
        <v>46113</v>
      </c>
      <c r="F300" s="15">
        <v>46295</v>
      </c>
      <c r="G300" s="11">
        <v>1400</v>
      </c>
      <c r="H300" s="12">
        <v>1400</v>
      </c>
      <c r="I300" s="13">
        <v>1</v>
      </c>
      <c r="J300" s="12">
        <f t="shared" si="29"/>
        <v>1400</v>
      </c>
      <c r="K300" s="12">
        <f t="shared" si="30"/>
        <v>77</v>
      </c>
      <c r="L300" s="12">
        <f t="shared" si="31"/>
        <v>182</v>
      </c>
      <c r="M300" s="12">
        <f t="shared" si="32"/>
        <v>1582</v>
      </c>
      <c r="N300" s="12">
        <f t="shared" si="33"/>
        <v>1323</v>
      </c>
      <c r="O300" s="12">
        <v>122.28</v>
      </c>
      <c r="P300" s="12">
        <f t="shared" si="35"/>
        <v>199.28</v>
      </c>
      <c r="Q300" s="12">
        <f t="shared" si="34"/>
        <v>1200.72</v>
      </c>
    </row>
    <row r="301" spans="1:83" s="9" customFormat="1" ht="20.100000000000001" customHeight="1" x14ac:dyDescent="0.3">
      <c r="A301" s="9">
        <v>299</v>
      </c>
      <c r="B301" s="9" t="s">
        <v>661</v>
      </c>
      <c r="C301" s="9" t="s">
        <v>662</v>
      </c>
      <c r="D301" s="9" t="s">
        <v>460</v>
      </c>
      <c r="E301" s="10">
        <v>46083</v>
      </c>
      <c r="F301" s="10">
        <v>46265</v>
      </c>
      <c r="G301" s="11">
        <v>1400</v>
      </c>
      <c r="H301" s="12">
        <v>1400</v>
      </c>
      <c r="I301" s="13">
        <v>1</v>
      </c>
      <c r="J301" s="12">
        <f t="shared" si="29"/>
        <v>1400</v>
      </c>
      <c r="K301" s="12">
        <f t="shared" si="30"/>
        <v>77</v>
      </c>
      <c r="L301" s="12">
        <f t="shared" si="31"/>
        <v>182</v>
      </c>
      <c r="M301" s="12">
        <f t="shared" si="32"/>
        <v>1582</v>
      </c>
      <c r="N301" s="12">
        <f t="shared" si="33"/>
        <v>1323</v>
      </c>
      <c r="O301" s="12">
        <v>122.28</v>
      </c>
      <c r="P301" s="12">
        <f t="shared" si="35"/>
        <v>199.28</v>
      </c>
      <c r="Q301" s="12">
        <f t="shared" si="34"/>
        <v>1200.72</v>
      </c>
    </row>
    <row r="302" spans="1:83" s="9" customFormat="1" ht="20.100000000000001" customHeight="1" x14ac:dyDescent="0.3">
      <c r="A302" s="9">
        <v>300</v>
      </c>
      <c r="B302" s="9" t="s">
        <v>663</v>
      </c>
      <c r="C302" s="9" t="s">
        <v>664</v>
      </c>
      <c r="D302" s="9" t="s">
        <v>166</v>
      </c>
      <c r="E302" s="10">
        <v>46083</v>
      </c>
      <c r="F302" s="10">
        <v>46265</v>
      </c>
      <c r="G302" s="11">
        <v>1400</v>
      </c>
      <c r="H302" s="12">
        <v>1400</v>
      </c>
      <c r="I302" s="13">
        <v>1</v>
      </c>
      <c r="J302" s="12">
        <f t="shared" si="29"/>
        <v>1400</v>
      </c>
      <c r="K302" s="12">
        <f t="shared" si="30"/>
        <v>77</v>
      </c>
      <c r="L302" s="12">
        <f t="shared" si="31"/>
        <v>182</v>
      </c>
      <c r="M302" s="12">
        <f t="shared" si="32"/>
        <v>1582</v>
      </c>
      <c r="N302" s="12">
        <f t="shared" si="33"/>
        <v>1323</v>
      </c>
      <c r="O302" s="12">
        <v>122.28</v>
      </c>
      <c r="P302" s="12">
        <f t="shared" si="35"/>
        <v>199.28</v>
      </c>
      <c r="Q302" s="12">
        <f t="shared" si="34"/>
        <v>1200.72</v>
      </c>
    </row>
    <row r="303" spans="1:83" s="9" customFormat="1" ht="20.100000000000001" customHeight="1" x14ac:dyDescent="0.3">
      <c r="A303" s="9">
        <v>301</v>
      </c>
      <c r="B303" s="9" t="s">
        <v>665</v>
      </c>
      <c r="C303" s="9" t="s">
        <v>666</v>
      </c>
      <c r="D303" s="9" t="s">
        <v>353</v>
      </c>
      <c r="E303" s="10">
        <v>46083</v>
      </c>
      <c r="F303" s="10">
        <v>46265</v>
      </c>
      <c r="G303" s="11">
        <v>1400</v>
      </c>
      <c r="H303" s="12">
        <v>1400</v>
      </c>
      <c r="I303" s="13">
        <v>1</v>
      </c>
      <c r="J303" s="12">
        <f t="shared" si="29"/>
        <v>1400</v>
      </c>
      <c r="K303" s="12">
        <f t="shared" si="30"/>
        <v>77</v>
      </c>
      <c r="L303" s="12">
        <f t="shared" si="31"/>
        <v>182</v>
      </c>
      <c r="M303" s="12">
        <f t="shared" si="32"/>
        <v>1582</v>
      </c>
      <c r="N303" s="12">
        <f t="shared" si="33"/>
        <v>1323</v>
      </c>
      <c r="O303" s="12">
        <v>122.28</v>
      </c>
      <c r="P303" s="12">
        <f t="shared" si="35"/>
        <v>199.28</v>
      </c>
      <c r="Q303" s="12">
        <f t="shared" si="34"/>
        <v>1200.72</v>
      </c>
    </row>
    <row r="304" spans="1:83" s="9" customFormat="1" ht="20.100000000000001" customHeight="1" x14ac:dyDescent="0.3">
      <c r="A304" s="9">
        <v>302</v>
      </c>
      <c r="B304" s="9" t="s">
        <v>667</v>
      </c>
      <c r="C304" s="9" t="s">
        <v>668</v>
      </c>
      <c r="D304" s="9" t="s">
        <v>353</v>
      </c>
      <c r="E304" s="10">
        <v>46083</v>
      </c>
      <c r="F304" s="10">
        <v>46265</v>
      </c>
      <c r="G304" s="11">
        <v>1400</v>
      </c>
      <c r="H304" s="12">
        <v>1400</v>
      </c>
      <c r="I304" s="13">
        <v>1</v>
      </c>
      <c r="J304" s="12">
        <f t="shared" si="29"/>
        <v>1400</v>
      </c>
      <c r="K304" s="12">
        <f t="shared" si="30"/>
        <v>77</v>
      </c>
      <c r="L304" s="12">
        <f t="shared" si="31"/>
        <v>182</v>
      </c>
      <c r="M304" s="12">
        <f t="shared" si="32"/>
        <v>1582</v>
      </c>
      <c r="N304" s="12">
        <f t="shared" si="33"/>
        <v>1323</v>
      </c>
      <c r="O304" s="12">
        <v>122.28</v>
      </c>
      <c r="P304" s="12">
        <f t="shared" si="35"/>
        <v>199.28</v>
      </c>
      <c r="Q304" s="12">
        <f t="shared" si="34"/>
        <v>1200.72</v>
      </c>
    </row>
    <row r="305" spans="1:17" s="9" customFormat="1" ht="20.100000000000001" customHeight="1" x14ac:dyDescent="0.3">
      <c r="A305" s="9">
        <v>303</v>
      </c>
      <c r="B305" s="9" t="s">
        <v>669</v>
      </c>
      <c r="C305" s="9" t="s">
        <v>670</v>
      </c>
      <c r="D305" s="9" t="s">
        <v>42</v>
      </c>
      <c r="E305" s="10">
        <v>46083</v>
      </c>
      <c r="F305" s="10">
        <v>46265</v>
      </c>
      <c r="G305" s="11">
        <v>1400</v>
      </c>
      <c r="H305" s="12">
        <v>1400</v>
      </c>
      <c r="I305" s="13">
        <v>1</v>
      </c>
      <c r="J305" s="12">
        <f t="shared" si="29"/>
        <v>1400</v>
      </c>
      <c r="K305" s="12">
        <f t="shared" si="30"/>
        <v>77</v>
      </c>
      <c r="L305" s="12">
        <f t="shared" si="31"/>
        <v>182</v>
      </c>
      <c r="M305" s="12">
        <f t="shared" si="32"/>
        <v>1582</v>
      </c>
      <c r="N305" s="12">
        <f t="shared" si="33"/>
        <v>1323</v>
      </c>
      <c r="O305" s="12">
        <v>122.28</v>
      </c>
      <c r="P305" s="12">
        <f t="shared" si="35"/>
        <v>199.28</v>
      </c>
      <c r="Q305" s="12">
        <f t="shared" si="34"/>
        <v>1200.72</v>
      </c>
    </row>
    <row r="306" spans="1:17" s="9" customFormat="1" ht="20.100000000000001" customHeight="1" x14ac:dyDescent="0.3">
      <c r="A306" s="9">
        <v>304</v>
      </c>
      <c r="B306" s="9" t="s">
        <v>671</v>
      </c>
      <c r="C306" s="17" t="s">
        <v>672</v>
      </c>
      <c r="D306" s="9" t="s">
        <v>42</v>
      </c>
      <c r="E306" s="15">
        <v>46143</v>
      </c>
      <c r="F306" s="15">
        <v>46325</v>
      </c>
      <c r="G306" s="11">
        <v>1400</v>
      </c>
      <c r="H306" s="12">
        <v>1400</v>
      </c>
      <c r="I306" s="13">
        <v>1</v>
      </c>
      <c r="J306" s="12">
        <f t="shared" si="29"/>
        <v>1400</v>
      </c>
      <c r="K306" s="12">
        <f t="shared" si="30"/>
        <v>77</v>
      </c>
      <c r="L306" s="12">
        <f t="shared" si="31"/>
        <v>182</v>
      </c>
      <c r="M306" s="12">
        <f t="shared" si="32"/>
        <v>1582</v>
      </c>
      <c r="N306" s="12">
        <f t="shared" si="33"/>
        <v>1323</v>
      </c>
      <c r="O306" s="12">
        <v>122.28</v>
      </c>
      <c r="P306" s="12">
        <f t="shared" si="35"/>
        <v>199.28</v>
      </c>
      <c r="Q306" s="12">
        <f t="shared" si="34"/>
        <v>1200.72</v>
      </c>
    </row>
    <row r="307" spans="1:17" s="9" customFormat="1" ht="20.100000000000001" customHeight="1" x14ac:dyDescent="0.3">
      <c r="A307" s="9">
        <v>305</v>
      </c>
      <c r="B307" s="9" t="s">
        <v>673</v>
      </c>
      <c r="C307" s="9" t="s">
        <v>674</v>
      </c>
      <c r="D307" s="9" t="s">
        <v>416</v>
      </c>
      <c r="E307" s="10">
        <v>46055</v>
      </c>
      <c r="F307" s="10">
        <v>46234</v>
      </c>
      <c r="G307" s="11">
        <v>1400</v>
      </c>
      <c r="H307" s="12">
        <v>1400</v>
      </c>
      <c r="I307" s="13">
        <v>1</v>
      </c>
      <c r="J307" s="12">
        <f t="shared" si="29"/>
        <v>1400</v>
      </c>
      <c r="K307" s="12">
        <f t="shared" si="30"/>
        <v>77</v>
      </c>
      <c r="L307" s="12">
        <f t="shared" si="31"/>
        <v>182</v>
      </c>
      <c r="M307" s="12">
        <f t="shared" si="32"/>
        <v>1582</v>
      </c>
      <c r="N307" s="12">
        <f t="shared" si="33"/>
        <v>1323</v>
      </c>
      <c r="O307" s="12">
        <v>122.28</v>
      </c>
      <c r="P307" s="12">
        <f t="shared" si="35"/>
        <v>199.28</v>
      </c>
      <c r="Q307" s="12">
        <f t="shared" si="34"/>
        <v>1200.72</v>
      </c>
    </row>
    <row r="308" spans="1:17" s="9" customFormat="1" ht="20.100000000000001" customHeight="1" x14ac:dyDescent="0.3">
      <c r="A308" s="9">
        <v>306</v>
      </c>
      <c r="B308" s="9" t="s">
        <v>675</v>
      </c>
      <c r="C308" s="9" t="s">
        <v>676</v>
      </c>
      <c r="D308" s="9" t="s">
        <v>353</v>
      </c>
      <c r="E308" s="10">
        <v>46055</v>
      </c>
      <c r="F308" s="10">
        <v>46234</v>
      </c>
      <c r="G308" s="11">
        <v>1400</v>
      </c>
      <c r="H308" s="12">
        <v>1400</v>
      </c>
      <c r="I308" s="13">
        <v>1</v>
      </c>
      <c r="J308" s="12">
        <f t="shared" si="29"/>
        <v>1400</v>
      </c>
      <c r="K308" s="12">
        <f t="shared" si="30"/>
        <v>77</v>
      </c>
      <c r="L308" s="12">
        <f t="shared" si="31"/>
        <v>182</v>
      </c>
      <c r="M308" s="12">
        <f t="shared" si="32"/>
        <v>1582</v>
      </c>
      <c r="N308" s="12">
        <f t="shared" si="33"/>
        <v>1323</v>
      </c>
      <c r="O308" s="12">
        <v>122.28</v>
      </c>
      <c r="P308" s="12">
        <f t="shared" si="35"/>
        <v>199.28</v>
      </c>
      <c r="Q308" s="12">
        <f t="shared" si="34"/>
        <v>1200.72</v>
      </c>
    </row>
    <row r="309" spans="1:17" s="9" customFormat="1" ht="20.100000000000001" customHeight="1" x14ac:dyDescent="0.3">
      <c r="A309" s="9">
        <v>307</v>
      </c>
      <c r="B309" s="9" t="s">
        <v>677</v>
      </c>
      <c r="C309" s="9" t="s">
        <v>678</v>
      </c>
      <c r="D309" s="9" t="s">
        <v>277</v>
      </c>
      <c r="E309" s="10">
        <v>46055</v>
      </c>
      <c r="F309" s="15">
        <v>46234</v>
      </c>
      <c r="G309" s="11">
        <v>1400</v>
      </c>
      <c r="H309" s="12">
        <v>1400</v>
      </c>
      <c r="I309" s="13">
        <v>1</v>
      </c>
      <c r="J309" s="12">
        <f t="shared" si="29"/>
        <v>1400</v>
      </c>
      <c r="K309" s="12">
        <f t="shared" si="30"/>
        <v>77</v>
      </c>
      <c r="L309" s="12">
        <f t="shared" si="31"/>
        <v>182</v>
      </c>
      <c r="M309" s="12">
        <f t="shared" si="32"/>
        <v>1582</v>
      </c>
      <c r="N309" s="12">
        <f t="shared" si="33"/>
        <v>1323</v>
      </c>
      <c r="O309" s="12">
        <v>122.28</v>
      </c>
      <c r="P309" s="12">
        <f t="shared" si="35"/>
        <v>199.28</v>
      </c>
      <c r="Q309" s="12">
        <f t="shared" si="34"/>
        <v>1200.72</v>
      </c>
    </row>
    <row r="310" spans="1:17" s="9" customFormat="1" ht="20.100000000000001" customHeight="1" x14ac:dyDescent="0.3">
      <c r="A310" s="9">
        <v>308</v>
      </c>
      <c r="B310" s="9" t="s">
        <v>679</v>
      </c>
      <c r="C310" s="9" t="s">
        <v>680</v>
      </c>
      <c r="D310" s="9" t="s">
        <v>166</v>
      </c>
      <c r="E310" s="10">
        <v>46083</v>
      </c>
      <c r="F310" s="10">
        <v>46265</v>
      </c>
      <c r="G310" s="11">
        <v>1400</v>
      </c>
      <c r="H310" s="12">
        <v>1400</v>
      </c>
      <c r="I310" s="13">
        <v>1</v>
      </c>
      <c r="J310" s="12">
        <f t="shared" si="29"/>
        <v>1400</v>
      </c>
      <c r="K310" s="12">
        <f t="shared" si="30"/>
        <v>77</v>
      </c>
      <c r="L310" s="12">
        <f t="shared" si="31"/>
        <v>182</v>
      </c>
      <c r="M310" s="12">
        <f t="shared" si="32"/>
        <v>1582</v>
      </c>
      <c r="N310" s="12">
        <f t="shared" si="33"/>
        <v>1323</v>
      </c>
      <c r="O310" s="12">
        <v>122.28</v>
      </c>
      <c r="P310" s="12">
        <f t="shared" si="35"/>
        <v>199.28</v>
      </c>
      <c r="Q310" s="12">
        <f t="shared" si="34"/>
        <v>1200.72</v>
      </c>
    </row>
    <row r="311" spans="1:17" s="9" customFormat="1" ht="20.100000000000001" customHeight="1" x14ac:dyDescent="0.3">
      <c r="A311" s="9">
        <v>309</v>
      </c>
      <c r="B311" s="9" t="s">
        <v>681</v>
      </c>
      <c r="C311" s="9" t="s">
        <v>682</v>
      </c>
      <c r="D311" s="9" t="s">
        <v>166</v>
      </c>
      <c r="E311" s="10">
        <v>46083</v>
      </c>
      <c r="F311" s="10">
        <v>46265</v>
      </c>
      <c r="G311" s="11">
        <v>1400</v>
      </c>
      <c r="H311" s="12">
        <v>1400</v>
      </c>
      <c r="I311" s="13">
        <v>1</v>
      </c>
      <c r="J311" s="12">
        <f t="shared" si="29"/>
        <v>1400</v>
      </c>
      <c r="K311" s="12">
        <f t="shared" si="30"/>
        <v>77</v>
      </c>
      <c r="L311" s="12">
        <f t="shared" si="31"/>
        <v>182</v>
      </c>
      <c r="M311" s="12">
        <f t="shared" si="32"/>
        <v>1582</v>
      </c>
      <c r="N311" s="12">
        <f t="shared" si="33"/>
        <v>1323</v>
      </c>
      <c r="O311" s="12">
        <v>122.28</v>
      </c>
      <c r="P311" s="12">
        <f t="shared" si="35"/>
        <v>199.28</v>
      </c>
      <c r="Q311" s="12">
        <f t="shared" si="34"/>
        <v>1200.72</v>
      </c>
    </row>
    <row r="312" spans="1:17" s="9" customFormat="1" ht="20.100000000000001" customHeight="1" x14ac:dyDescent="0.3">
      <c r="A312" s="9">
        <v>310</v>
      </c>
      <c r="B312" s="9" t="s">
        <v>683</v>
      </c>
      <c r="C312" s="9" t="s">
        <v>684</v>
      </c>
      <c r="D312" s="9" t="s">
        <v>143</v>
      </c>
      <c r="E312" s="15">
        <v>46143</v>
      </c>
      <c r="F312" s="15">
        <v>46325</v>
      </c>
      <c r="G312" s="11">
        <v>1400</v>
      </c>
      <c r="H312" s="12">
        <v>1400</v>
      </c>
      <c r="I312" s="13">
        <v>1</v>
      </c>
      <c r="J312" s="12">
        <f t="shared" si="29"/>
        <v>1400</v>
      </c>
      <c r="K312" s="12">
        <f t="shared" si="30"/>
        <v>77</v>
      </c>
      <c r="L312" s="12">
        <f t="shared" si="31"/>
        <v>182</v>
      </c>
      <c r="M312" s="12">
        <f t="shared" si="32"/>
        <v>1582</v>
      </c>
      <c r="N312" s="12">
        <f t="shared" si="33"/>
        <v>1323</v>
      </c>
      <c r="O312" s="12">
        <v>122.28</v>
      </c>
      <c r="P312" s="12">
        <f t="shared" si="35"/>
        <v>199.28</v>
      </c>
      <c r="Q312" s="12">
        <f t="shared" si="34"/>
        <v>1200.72</v>
      </c>
    </row>
    <row r="313" spans="1:17" s="9" customFormat="1" ht="20.100000000000001" customHeight="1" x14ac:dyDescent="0.3">
      <c r="A313" s="9">
        <v>311</v>
      </c>
      <c r="B313" s="9" t="s">
        <v>685</v>
      </c>
      <c r="C313" s="9" t="s">
        <v>686</v>
      </c>
      <c r="D313" s="9" t="s">
        <v>143</v>
      </c>
      <c r="E313" s="15">
        <v>46113</v>
      </c>
      <c r="F313" s="15">
        <v>46295</v>
      </c>
      <c r="G313" s="11">
        <v>1400</v>
      </c>
      <c r="H313" s="12">
        <v>1400</v>
      </c>
      <c r="I313" s="13">
        <v>1</v>
      </c>
      <c r="J313" s="12">
        <f t="shared" si="29"/>
        <v>1400</v>
      </c>
      <c r="K313" s="12">
        <f t="shared" si="30"/>
        <v>77</v>
      </c>
      <c r="L313" s="12">
        <f t="shared" si="31"/>
        <v>182</v>
      </c>
      <c r="M313" s="12">
        <f t="shared" si="32"/>
        <v>1582</v>
      </c>
      <c r="N313" s="12">
        <f t="shared" si="33"/>
        <v>1323</v>
      </c>
      <c r="O313" s="12">
        <v>122.28</v>
      </c>
      <c r="P313" s="12">
        <f t="shared" si="35"/>
        <v>199.28</v>
      </c>
      <c r="Q313" s="12">
        <f t="shared" si="34"/>
        <v>1200.72</v>
      </c>
    </row>
    <row r="314" spans="1:17" s="9" customFormat="1" ht="20.100000000000001" customHeight="1" x14ac:dyDescent="0.3">
      <c r="A314" s="9">
        <v>312</v>
      </c>
      <c r="B314" s="9" t="s">
        <v>687</v>
      </c>
      <c r="C314" s="9" t="s">
        <v>688</v>
      </c>
      <c r="D314" s="9" t="s">
        <v>143</v>
      </c>
      <c r="E314" s="15">
        <v>46143</v>
      </c>
      <c r="F314" s="15">
        <v>46325</v>
      </c>
      <c r="G314" s="11">
        <v>1400</v>
      </c>
      <c r="H314" s="12">
        <v>1400</v>
      </c>
      <c r="I314" s="13">
        <v>1</v>
      </c>
      <c r="J314" s="12">
        <f t="shared" si="29"/>
        <v>1400</v>
      </c>
      <c r="K314" s="12">
        <f t="shared" si="30"/>
        <v>77</v>
      </c>
      <c r="L314" s="12">
        <f t="shared" si="31"/>
        <v>182</v>
      </c>
      <c r="M314" s="12">
        <f t="shared" si="32"/>
        <v>1582</v>
      </c>
      <c r="N314" s="12">
        <f t="shared" si="33"/>
        <v>1323</v>
      </c>
      <c r="O314" s="12">
        <v>122.28</v>
      </c>
      <c r="P314" s="12">
        <f t="shared" si="35"/>
        <v>199.28</v>
      </c>
      <c r="Q314" s="12">
        <f t="shared" si="34"/>
        <v>1200.72</v>
      </c>
    </row>
    <row r="315" spans="1:17" s="9" customFormat="1" ht="20.100000000000001" customHeight="1" x14ac:dyDescent="0.3">
      <c r="A315" s="9">
        <v>313</v>
      </c>
      <c r="B315" s="9" t="s">
        <v>689</v>
      </c>
      <c r="C315" s="9" t="s">
        <v>690</v>
      </c>
      <c r="D315" s="9" t="s">
        <v>143</v>
      </c>
      <c r="E315" s="15">
        <v>46143</v>
      </c>
      <c r="F315" s="15">
        <v>46325</v>
      </c>
      <c r="G315" s="11">
        <v>1400</v>
      </c>
      <c r="H315" s="12">
        <v>1400</v>
      </c>
      <c r="I315" s="13">
        <v>1</v>
      </c>
      <c r="J315" s="12">
        <f t="shared" si="29"/>
        <v>1400</v>
      </c>
      <c r="K315" s="12">
        <f t="shared" si="30"/>
        <v>77</v>
      </c>
      <c r="L315" s="12">
        <f t="shared" si="31"/>
        <v>182</v>
      </c>
      <c r="M315" s="12">
        <f t="shared" si="32"/>
        <v>1582</v>
      </c>
      <c r="N315" s="12">
        <f t="shared" si="33"/>
        <v>1323</v>
      </c>
      <c r="O315" s="12">
        <v>122.28</v>
      </c>
      <c r="P315" s="12">
        <f t="shared" si="35"/>
        <v>199.28</v>
      </c>
      <c r="Q315" s="12">
        <f t="shared" si="34"/>
        <v>1200.72</v>
      </c>
    </row>
    <row r="316" spans="1:17" s="9" customFormat="1" ht="20.100000000000001" customHeight="1" x14ac:dyDescent="0.3">
      <c r="A316" s="9">
        <v>314</v>
      </c>
      <c r="B316" s="9" t="s">
        <v>691</v>
      </c>
      <c r="C316" s="9" t="s">
        <v>692</v>
      </c>
      <c r="D316" s="9" t="s">
        <v>143</v>
      </c>
      <c r="E316" s="15">
        <v>46143</v>
      </c>
      <c r="F316" s="15">
        <v>46325</v>
      </c>
      <c r="G316" s="11">
        <v>1400</v>
      </c>
      <c r="H316" s="12">
        <v>1400</v>
      </c>
      <c r="I316" s="13">
        <v>1</v>
      </c>
      <c r="J316" s="12">
        <f t="shared" si="29"/>
        <v>1400</v>
      </c>
      <c r="K316" s="12">
        <f t="shared" si="30"/>
        <v>77</v>
      </c>
      <c r="L316" s="12">
        <f t="shared" si="31"/>
        <v>182</v>
      </c>
      <c r="M316" s="12">
        <f t="shared" si="32"/>
        <v>1582</v>
      </c>
      <c r="N316" s="12">
        <f t="shared" si="33"/>
        <v>1323</v>
      </c>
      <c r="O316" s="12">
        <v>122.28</v>
      </c>
      <c r="P316" s="12">
        <f t="shared" si="35"/>
        <v>199.28</v>
      </c>
      <c r="Q316" s="12">
        <f t="shared" si="34"/>
        <v>1200.72</v>
      </c>
    </row>
    <row r="317" spans="1:17" s="9" customFormat="1" ht="20.100000000000001" customHeight="1" x14ac:dyDescent="0.3">
      <c r="A317" s="9">
        <v>315</v>
      </c>
      <c r="B317" s="9" t="s">
        <v>693</v>
      </c>
      <c r="C317" s="9" t="s">
        <v>694</v>
      </c>
      <c r="D317" s="9" t="s">
        <v>143</v>
      </c>
      <c r="E317" s="10">
        <v>46174</v>
      </c>
      <c r="F317" s="10">
        <v>46356</v>
      </c>
      <c r="G317" s="11">
        <v>1400</v>
      </c>
      <c r="H317" s="12">
        <v>1400</v>
      </c>
      <c r="I317" s="13">
        <v>1</v>
      </c>
      <c r="J317" s="12">
        <f t="shared" si="29"/>
        <v>1400</v>
      </c>
      <c r="K317" s="12">
        <f t="shared" si="30"/>
        <v>77</v>
      </c>
      <c r="L317" s="12">
        <f t="shared" si="31"/>
        <v>182</v>
      </c>
      <c r="M317" s="12">
        <f t="shared" si="32"/>
        <v>1582</v>
      </c>
      <c r="N317" s="12">
        <f t="shared" si="33"/>
        <v>1323</v>
      </c>
      <c r="O317" s="12">
        <v>122.28</v>
      </c>
      <c r="P317" s="12">
        <f t="shared" si="35"/>
        <v>199.28</v>
      </c>
      <c r="Q317" s="12">
        <f t="shared" si="34"/>
        <v>1200.72</v>
      </c>
    </row>
    <row r="318" spans="1:17" s="9" customFormat="1" ht="20.100000000000001" customHeight="1" x14ac:dyDescent="0.3">
      <c r="A318" s="9">
        <v>316</v>
      </c>
      <c r="B318" s="9" t="s">
        <v>695</v>
      </c>
      <c r="C318" s="9" t="s">
        <v>696</v>
      </c>
      <c r="D318" s="9" t="s">
        <v>143</v>
      </c>
      <c r="E318" s="15">
        <v>46143</v>
      </c>
      <c r="F318" s="15">
        <v>46325</v>
      </c>
      <c r="G318" s="11">
        <v>1400</v>
      </c>
      <c r="H318" s="12">
        <v>1400</v>
      </c>
      <c r="I318" s="13">
        <v>1</v>
      </c>
      <c r="J318" s="12">
        <f t="shared" si="29"/>
        <v>1400</v>
      </c>
      <c r="K318" s="12">
        <f t="shared" si="30"/>
        <v>77</v>
      </c>
      <c r="L318" s="12">
        <f t="shared" si="31"/>
        <v>182</v>
      </c>
      <c r="M318" s="12">
        <f t="shared" si="32"/>
        <v>1582</v>
      </c>
      <c r="N318" s="12">
        <f t="shared" si="33"/>
        <v>1323</v>
      </c>
      <c r="O318" s="12">
        <v>122.28</v>
      </c>
      <c r="P318" s="12">
        <f t="shared" si="35"/>
        <v>199.28</v>
      </c>
      <c r="Q318" s="12">
        <f t="shared" si="34"/>
        <v>1200.72</v>
      </c>
    </row>
    <row r="319" spans="1:17" s="9" customFormat="1" ht="20.100000000000001" customHeight="1" x14ac:dyDescent="0.3">
      <c r="A319" s="9">
        <v>317</v>
      </c>
      <c r="B319" s="9" t="s">
        <v>697</v>
      </c>
      <c r="C319" s="9" t="s">
        <v>698</v>
      </c>
      <c r="D319" s="9" t="s">
        <v>143</v>
      </c>
      <c r="E319" s="15">
        <v>46143</v>
      </c>
      <c r="F319" s="15">
        <v>46325</v>
      </c>
      <c r="G319" s="11">
        <v>1400</v>
      </c>
      <c r="H319" s="12">
        <v>1400</v>
      </c>
      <c r="I319" s="13">
        <v>1</v>
      </c>
      <c r="J319" s="12">
        <f t="shared" si="29"/>
        <v>1400</v>
      </c>
      <c r="K319" s="12">
        <f t="shared" si="30"/>
        <v>77</v>
      </c>
      <c r="L319" s="12">
        <f t="shared" si="31"/>
        <v>182</v>
      </c>
      <c r="M319" s="12">
        <f t="shared" si="32"/>
        <v>1582</v>
      </c>
      <c r="N319" s="12">
        <f t="shared" si="33"/>
        <v>1323</v>
      </c>
      <c r="O319" s="12">
        <v>122.28</v>
      </c>
      <c r="P319" s="12">
        <f t="shared" si="35"/>
        <v>199.28</v>
      </c>
      <c r="Q319" s="12">
        <f t="shared" si="34"/>
        <v>1200.72</v>
      </c>
    </row>
    <row r="320" spans="1:17" s="9" customFormat="1" ht="20.100000000000001" customHeight="1" x14ac:dyDescent="0.3">
      <c r="A320" s="9">
        <v>318</v>
      </c>
      <c r="B320" s="9" t="s">
        <v>699</v>
      </c>
      <c r="C320" s="9" t="s">
        <v>700</v>
      </c>
      <c r="D320" s="9" t="s">
        <v>143</v>
      </c>
      <c r="E320" s="15">
        <v>46143</v>
      </c>
      <c r="F320" s="15">
        <v>46325</v>
      </c>
      <c r="G320" s="11">
        <v>1400</v>
      </c>
      <c r="H320" s="12">
        <v>1400</v>
      </c>
      <c r="I320" s="13">
        <v>1</v>
      </c>
      <c r="J320" s="12">
        <f t="shared" si="29"/>
        <v>1400</v>
      </c>
      <c r="K320" s="12">
        <f t="shared" si="30"/>
        <v>77</v>
      </c>
      <c r="L320" s="12">
        <f t="shared" si="31"/>
        <v>182</v>
      </c>
      <c r="M320" s="12">
        <f t="shared" si="32"/>
        <v>1582</v>
      </c>
      <c r="N320" s="12">
        <f t="shared" si="33"/>
        <v>1323</v>
      </c>
      <c r="O320" s="12">
        <v>122.28</v>
      </c>
      <c r="P320" s="12">
        <f t="shared" si="35"/>
        <v>199.28</v>
      </c>
      <c r="Q320" s="12">
        <f t="shared" si="34"/>
        <v>1200.72</v>
      </c>
    </row>
    <row r="321" spans="1:83" s="16" customFormat="1" ht="20.100000000000001" customHeight="1" x14ac:dyDescent="0.3">
      <c r="A321" s="9">
        <v>319</v>
      </c>
      <c r="B321" s="9" t="s">
        <v>701</v>
      </c>
      <c r="C321" s="9" t="s">
        <v>702</v>
      </c>
      <c r="D321" s="9" t="s">
        <v>353</v>
      </c>
      <c r="E321" s="10">
        <v>46055</v>
      </c>
      <c r="F321" s="10">
        <v>46234</v>
      </c>
      <c r="G321" s="11">
        <v>1400</v>
      </c>
      <c r="H321" s="12">
        <v>1400</v>
      </c>
      <c r="I321" s="13">
        <v>1</v>
      </c>
      <c r="J321" s="12">
        <f t="shared" si="29"/>
        <v>1400</v>
      </c>
      <c r="K321" s="12">
        <f t="shared" si="30"/>
        <v>77</v>
      </c>
      <c r="L321" s="12">
        <f t="shared" si="31"/>
        <v>182</v>
      </c>
      <c r="M321" s="12">
        <f t="shared" si="32"/>
        <v>1582</v>
      </c>
      <c r="N321" s="12">
        <f t="shared" si="33"/>
        <v>1323</v>
      </c>
      <c r="O321" s="12">
        <v>122.28</v>
      </c>
      <c r="P321" s="12">
        <f t="shared" si="35"/>
        <v>199.28</v>
      </c>
      <c r="Q321" s="12">
        <f t="shared" si="34"/>
        <v>1200.72</v>
      </c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</row>
    <row r="322" spans="1:83" s="9" customFormat="1" ht="20.100000000000001" customHeight="1" x14ac:dyDescent="0.3">
      <c r="A322" s="9">
        <v>320</v>
      </c>
      <c r="B322" s="9" t="s">
        <v>703</v>
      </c>
      <c r="C322" s="9" t="s">
        <v>704</v>
      </c>
      <c r="D322" s="9" t="s">
        <v>353</v>
      </c>
      <c r="E322" s="15">
        <v>46113</v>
      </c>
      <c r="F322" s="15">
        <v>46266</v>
      </c>
      <c r="G322" s="11">
        <v>1400</v>
      </c>
      <c r="H322" s="12">
        <v>1400</v>
      </c>
      <c r="I322" s="13">
        <v>1</v>
      </c>
      <c r="J322" s="12">
        <f t="shared" si="29"/>
        <v>1400</v>
      </c>
      <c r="K322" s="12">
        <f t="shared" si="30"/>
        <v>77</v>
      </c>
      <c r="L322" s="12">
        <f t="shared" si="31"/>
        <v>182</v>
      </c>
      <c r="M322" s="12">
        <f t="shared" si="32"/>
        <v>1582</v>
      </c>
      <c r="N322" s="12">
        <f t="shared" si="33"/>
        <v>1323</v>
      </c>
      <c r="O322" s="12">
        <v>122.28</v>
      </c>
      <c r="P322" s="12">
        <f t="shared" si="35"/>
        <v>199.28</v>
      </c>
      <c r="Q322" s="12">
        <f t="shared" si="34"/>
        <v>1200.72</v>
      </c>
    </row>
    <row r="323" spans="1:83" s="16" customFormat="1" ht="20.100000000000001" customHeight="1" x14ac:dyDescent="0.3">
      <c r="A323" s="9">
        <v>321</v>
      </c>
      <c r="B323" s="9" t="s">
        <v>705</v>
      </c>
      <c r="C323" s="9" t="s">
        <v>706</v>
      </c>
      <c r="D323" s="9" t="s">
        <v>23</v>
      </c>
      <c r="E323" s="15">
        <v>46143</v>
      </c>
      <c r="F323" s="15">
        <v>46325</v>
      </c>
      <c r="G323" s="11">
        <v>1400</v>
      </c>
      <c r="H323" s="12">
        <v>1400</v>
      </c>
      <c r="I323" s="13">
        <v>1</v>
      </c>
      <c r="J323" s="12">
        <f t="shared" ref="J323:J386" si="36">H323*I323</f>
        <v>1400</v>
      </c>
      <c r="K323" s="12">
        <f t="shared" ref="K323:K386" si="37">J323*0.055</f>
        <v>77</v>
      </c>
      <c r="L323" s="12">
        <f t="shared" ref="L323:L386" si="38">0.13*J323</f>
        <v>182</v>
      </c>
      <c r="M323" s="12">
        <f t="shared" ref="M323:M386" si="39">J323+L323</f>
        <v>1582</v>
      </c>
      <c r="N323" s="12">
        <f t="shared" ref="N323:N386" si="40">J323-K323</f>
        <v>1323</v>
      </c>
      <c r="O323" s="12">
        <v>122.28</v>
      </c>
      <c r="P323" s="12">
        <f t="shared" si="35"/>
        <v>199.28</v>
      </c>
      <c r="Q323" s="12">
        <f t="shared" ref="Q323:Q386" si="41">J323-P323</f>
        <v>1200.72</v>
      </c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</row>
    <row r="324" spans="1:83" s="9" customFormat="1" ht="20.100000000000001" customHeight="1" x14ac:dyDescent="0.3">
      <c r="A324" s="9">
        <v>322</v>
      </c>
      <c r="B324" s="9" t="s">
        <v>707</v>
      </c>
      <c r="C324" s="9" t="s">
        <v>708</v>
      </c>
      <c r="D324" s="9" t="s">
        <v>143</v>
      </c>
      <c r="E324" s="15">
        <v>46143</v>
      </c>
      <c r="F324" s="15">
        <v>46325</v>
      </c>
      <c r="G324" s="11">
        <v>1400</v>
      </c>
      <c r="H324" s="12">
        <v>1400</v>
      </c>
      <c r="I324" s="13">
        <v>1</v>
      </c>
      <c r="J324" s="12">
        <f t="shared" si="36"/>
        <v>1400</v>
      </c>
      <c r="K324" s="12">
        <f t="shared" si="37"/>
        <v>77</v>
      </c>
      <c r="L324" s="12">
        <f t="shared" si="38"/>
        <v>182</v>
      </c>
      <c r="M324" s="12">
        <f t="shared" si="39"/>
        <v>1582</v>
      </c>
      <c r="N324" s="12">
        <f t="shared" si="40"/>
        <v>1323</v>
      </c>
      <c r="O324" s="12">
        <v>122.28</v>
      </c>
      <c r="P324" s="12">
        <f t="shared" si="35"/>
        <v>199.28</v>
      </c>
      <c r="Q324" s="12">
        <f t="shared" si="41"/>
        <v>1200.72</v>
      </c>
    </row>
    <row r="325" spans="1:83" s="16" customFormat="1" ht="19.149999999999999" customHeight="1" x14ac:dyDescent="0.3">
      <c r="A325" s="9">
        <v>323</v>
      </c>
      <c r="B325" s="9" t="s">
        <v>709</v>
      </c>
      <c r="C325" s="9" t="s">
        <v>710</v>
      </c>
      <c r="D325" s="9" t="s">
        <v>143</v>
      </c>
      <c r="E325" s="15">
        <v>46113</v>
      </c>
      <c r="F325" s="15">
        <v>46266</v>
      </c>
      <c r="G325" s="11">
        <v>1400</v>
      </c>
      <c r="H325" s="12">
        <v>1400</v>
      </c>
      <c r="I325" s="13">
        <v>1</v>
      </c>
      <c r="J325" s="12">
        <f t="shared" si="36"/>
        <v>1400</v>
      </c>
      <c r="K325" s="12">
        <f t="shared" si="37"/>
        <v>77</v>
      </c>
      <c r="L325" s="12">
        <f t="shared" si="38"/>
        <v>182</v>
      </c>
      <c r="M325" s="12">
        <f t="shared" si="39"/>
        <v>1582</v>
      </c>
      <c r="N325" s="12">
        <f t="shared" si="40"/>
        <v>1323</v>
      </c>
      <c r="O325" s="12">
        <v>122.28</v>
      </c>
      <c r="P325" s="12">
        <f t="shared" si="35"/>
        <v>199.28</v>
      </c>
      <c r="Q325" s="12">
        <f t="shared" si="41"/>
        <v>1200.72</v>
      </c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</row>
    <row r="326" spans="1:83" s="9" customFormat="1" ht="20.100000000000001" customHeight="1" x14ac:dyDescent="0.3">
      <c r="A326" s="9">
        <v>324</v>
      </c>
      <c r="B326" s="9" t="s">
        <v>711</v>
      </c>
      <c r="C326" s="9" t="s">
        <v>712</v>
      </c>
      <c r="D326" s="9" t="s">
        <v>143</v>
      </c>
      <c r="E326" s="15">
        <v>46113</v>
      </c>
      <c r="F326" s="15">
        <v>46266</v>
      </c>
      <c r="G326" s="11">
        <v>1400</v>
      </c>
      <c r="H326" s="12">
        <v>1400</v>
      </c>
      <c r="I326" s="13">
        <v>1</v>
      </c>
      <c r="J326" s="12">
        <f t="shared" si="36"/>
        <v>1400</v>
      </c>
      <c r="K326" s="12">
        <f t="shared" si="37"/>
        <v>77</v>
      </c>
      <c r="L326" s="12">
        <f t="shared" si="38"/>
        <v>182</v>
      </c>
      <c r="M326" s="12">
        <f t="shared" si="39"/>
        <v>1582</v>
      </c>
      <c r="N326" s="12">
        <f t="shared" si="40"/>
        <v>1323</v>
      </c>
      <c r="O326" s="12">
        <v>122.28</v>
      </c>
      <c r="P326" s="12">
        <f t="shared" si="35"/>
        <v>199.28</v>
      </c>
      <c r="Q326" s="12">
        <f t="shared" si="41"/>
        <v>1200.72</v>
      </c>
    </row>
    <row r="327" spans="1:83" s="9" customFormat="1" ht="20.100000000000001" customHeight="1" x14ac:dyDescent="0.3">
      <c r="A327" s="9">
        <v>325</v>
      </c>
      <c r="B327" s="9" t="s">
        <v>713</v>
      </c>
      <c r="C327" s="17" t="s">
        <v>714</v>
      </c>
      <c r="D327" s="9" t="s">
        <v>143</v>
      </c>
      <c r="E327" s="15">
        <v>46143</v>
      </c>
      <c r="F327" s="15">
        <v>46325</v>
      </c>
      <c r="G327" s="11">
        <v>1400</v>
      </c>
      <c r="H327" s="12">
        <v>1400</v>
      </c>
      <c r="I327" s="13">
        <v>1</v>
      </c>
      <c r="J327" s="12">
        <f t="shared" si="36"/>
        <v>1400</v>
      </c>
      <c r="K327" s="12">
        <f t="shared" si="37"/>
        <v>77</v>
      </c>
      <c r="L327" s="12">
        <f t="shared" si="38"/>
        <v>182</v>
      </c>
      <c r="M327" s="12">
        <f t="shared" si="39"/>
        <v>1582</v>
      </c>
      <c r="N327" s="12">
        <f t="shared" si="40"/>
        <v>1323</v>
      </c>
      <c r="O327" s="12">
        <v>122.28</v>
      </c>
      <c r="P327" s="12">
        <f t="shared" si="35"/>
        <v>199.28</v>
      </c>
      <c r="Q327" s="12">
        <f t="shared" si="41"/>
        <v>1200.72</v>
      </c>
    </row>
    <row r="328" spans="1:83" s="9" customFormat="1" ht="20.100000000000001" customHeight="1" x14ac:dyDescent="0.3">
      <c r="A328" s="9">
        <v>326</v>
      </c>
      <c r="B328" s="9" t="s">
        <v>715</v>
      </c>
      <c r="C328" s="9" t="s">
        <v>716</v>
      </c>
      <c r="D328" s="9" t="s">
        <v>143</v>
      </c>
      <c r="E328" s="15">
        <v>46143</v>
      </c>
      <c r="F328" s="15">
        <v>46325</v>
      </c>
      <c r="G328" s="11">
        <v>1400</v>
      </c>
      <c r="H328" s="12">
        <v>1400</v>
      </c>
      <c r="I328" s="13">
        <v>1</v>
      </c>
      <c r="J328" s="12">
        <f t="shared" si="36"/>
        <v>1400</v>
      </c>
      <c r="K328" s="12">
        <f t="shared" si="37"/>
        <v>77</v>
      </c>
      <c r="L328" s="12">
        <f t="shared" si="38"/>
        <v>182</v>
      </c>
      <c r="M328" s="12">
        <f t="shared" si="39"/>
        <v>1582</v>
      </c>
      <c r="N328" s="12">
        <f t="shared" si="40"/>
        <v>1323</v>
      </c>
      <c r="O328" s="12">
        <v>122.28</v>
      </c>
      <c r="P328" s="12">
        <f t="shared" si="35"/>
        <v>199.28</v>
      </c>
      <c r="Q328" s="12">
        <f t="shared" si="41"/>
        <v>1200.72</v>
      </c>
    </row>
    <row r="329" spans="1:83" s="9" customFormat="1" ht="20.100000000000001" customHeight="1" x14ac:dyDescent="0.3">
      <c r="A329" s="9">
        <v>327</v>
      </c>
      <c r="B329" s="9" t="s">
        <v>717</v>
      </c>
      <c r="C329" s="9" t="s">
        <v>718</v>
      </c>
      <c r="D329" s="9" t="s">
        <v>143</v>
      </c>
      <c r="E329" s="15">
        <v>46143</v>
      </c>
      <c r="F329" s="15">
        <v>46325</v>
      </c>
      <c r="G329" s="11">
        <v>1400</v>
      </c>
      <c r="H329" s="12">
        <v>1400</v>
      </c>
      <c r="I329" s="13">
        <v>1</v>
      </c>
      <c r="J329" s="12">
        <f t="shared" si="36"/>
        <v>1400</v>
      </c>
      <c r="K329" s="12">
        <f t="shared" si="37"/>
        <v>77</v>
      </c>
      <c r="L329" s="12">
        <f t="shared" si="38"/>
        <v>182</v>
      </c>
      <c r="M329" s="12">
        <f t="shared" si="39"/>
        <v>1582</v>
      </c>
      <c r="N329" s="12">
        <f t="shared" si="40"/>
        <v>1323</v>
      </c>
      <c r="O329" s="12">
        <v>122.28</v>
      </c>
      <c r="P329" s="12">
        <f t="shared" si="35"/>
        <v>199.28</v>
      </c>
      <c r="Q329" s="12">
        <f t="shared" si="41"/>
        <v>1200.72</v>
      </c>
    </row>
    <row r="330" spans="1:83" s="9" customFormat="1" ht="20.100000000000001" customHeight="1" x14ac:dyDescent="0.3">
      <c r="A330" s="9">
        <v>328</v>
      </c>
      <c r="B330" s="9" t="s">
        <v>719</v>
      </c>
      <c r="C330" s="9" t="s">
        <v>720</v>
      </c>
      <c r="D330" s="9" t="s">
        <v>143</v>
      </c>
      <c r="E330" s="15">
        <v>46143</v>
      </c>
      <c r="F330" s="15">
        <v>46325</v>
      </c>
      <c r="G330" s="11">
        <v>1400</v>
      </c>
      <c r="H330" s="12">
        <v>1400</v>
      </c>
      <c r="I330" s="13">
        <v>1</v>
      </c>
      <c r="J330" s="12">
        <f t="shared" si="36"/>
        <v>1400</v>
      </c>
      <c r="K330" s="12">
        <f t="shared" si="37"/>
        <v>77</v>
      </c>
      <c r="L330" s="12">
        <f t="shared" si="38"/>
        <v>182</v>
      </c>
      <c r="M330" s="12">
        <f t="shared" si="39"/>
        <v>1582</v>
      </c>
      <c r="N330" s="12">
        <f t="shared" si="40"/>
        <v>1323</v>
      </c>
      <c r="O330" s="12">
        <v>122.28</v>
      </c>
      <c r="P330" s="12">
        <f t="shared" si="35"/>
        <v>199.28</v>
      </c>
      <c r="Q330" s="12">
        <f t="shared" si="41"/>
        <v>1200.72</v>
      </c>
    </row>
    <row r="331" spans="1:83" s="9" customFormat="1" ht="20.100000000000001" customHeight="1" x14ac:dyDescent="0.3">
      <c r="A331" s="9">
        <v>329</v>
      </c>
      <c r="B331" s="9" t="s">
        <v>721</v>
      </c>
      <c r="C331" s="9" t="s">
        <v>722</v>
      </c>
      <c r="D331" s="9" t="s">
        <v>143</v>
      </c>
      <c r="E331" s="15">
        <v>46143</v>
      </c>
      <c r="F331" s="15">
        <v>46325</v>
      </c>
      <c r="G331" s="11">
        <v>1400</v>
      </c>
      <c r="H331" s="12">
        <v>1400</v>
      </c>
      <c r="I331" s="13">
        <v>1</v>
      </c>
      <c r="J331" s="12">
        <f t="shared" si="36"/>
        <v>1400</v>
      </c>
      <c r="K331" s="12">
        <f t="shared" si="37"/>
        <v>77</v>
      </c>
      <c r="L331" s="12">
        <f t="shared" si="38"/>
        <v>182</v>
      </c>
      <c r="M331" s="12">
        <f t="shared" si="39"/>
        <v>1582</v>
      </c>
      <c r="N331" s="12">
        <f t="shared" si="40"/>
        <v>1323</v>
      </c>
      <c r="O331" s="12">
        <v>122.28</v>
      </c>
      <c r="P331" s="12">
        <f t="shared" si="35"/>
        <v>199.28</v>
      </c>
      <c r="Q331" s="12">
        <f t="shared" si="41"/>
        <v>1200.72</v>
      </c>
    </row>
    <row r="332" spans="1:83" ht="20.100000000000001" customHeight="1" x14ac:dyDescent="0.3">
      <c r="A332" s="9">
        <v>330</v>
      </c>
      <c r="B332" s="9" t="s">
        <v>723</v>
      </c>
      <c r="C332" s="9" t="s">
        <v>724</v>
      </c>
      <c r="D332" s="9" t="s">
        <v>42</v>
      </c>
      <c r="E332" s="10">
        <v>46055</v>
      </c>
      <c r="F332" s="15">
        <v>46234</v>
      </c>
      <c r="G332" s="11">
        <v>1400</v>
      </c>
      <c r="H332" s="12">
        <v>1400</v>
      </c>
      <c r="I332" s="13">
        <v>1</v>
      </c>
      <c r="J332" s="12">
        <f t="shared" si="36"/>
        <v>1400</v>
      </c>
      <c r="K332" s="12">
        <f t="shared" si="37"/>
        <v>77</v>
      </c>
      <c r="L332" s="12">
        <f t="shared" si="38"/>
        <v>182</v>
      </c>
      <c r="M332" s="12">
        <f t="shared" si="39"/>
        <v>1582</v>
      </c>
      <c r="N332" s="12">
        <f t="shared" si="40"/>
        <v>1323</v>
      </c>
      <c r="O332" s="12">
        <v>122.28</v>
      </c>
      <c r="P332" s="12">
        <f t="shared" si="35"/>
        <v>199.28</v>
      </c>
      <c r="Q332" s="12">
        <f t="shared" si="41"/>
        <v>1200.72</v>
      </c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</row>
    <row r="333" spans="1:83" s="9" customFormat="1" ht="20.100000000000001" customHeight="1" x14ac:dyDescent="0.3">
      <c r="A333" s="9">
        <v>331</v>
      </c>
      <c r="B333" s="9" t="s">
        <v>725</v>
      </c>
      <c r="C333" s="9" t="s">
        <v>726</v>
      </c>
      <c r="D333" s="9" t="s">
        <v>121</v>
      </c>
      <c r="E333" s="10">
        <v>46113</v>
      </c>
      <c r="F333" s="10">
        <v>46295</v>
      </c>
      <c r="G333" s="11">
        <v>1400</v>
      </c>
      <c r="H333" s="12">
        <v>1400</v>
      </c>
      <c r="I333" s="13">
        <v>1</v>
      </c>
      <c r="J333" s="12">
        <f t="shared" si="36"/>
        <v>1400</v>
      </c>
      <c r="K333" s="12">
        <f t="shared" si="37"/>
        <v>77</v>
      </c>
      <c r="L333" s="12">
        <f t="shared" si="38"/>
        <v>182</v>
      </c>
      <c r="M333" s="12">
        <f t="shared" si="39"/>
        <v>1582</v>
      </c>
      <c r="N333" s="12">
        <f t="shared" si="40"/>
        <v>1323</v>
      </c>
      <c r="O333" s="12">
        <v>122.28</v>
      </c>
      <c r="P333" s="12">
        <f t="shared" si="35"/>
        <v>199.28</v>
      </c>
      <c r="Q333" s="12">
        <f t="shared" si="41"/>
        <v>1200.72</v>
      </c>
    </row>
    <row r="334" spans="1:83" s="9" customFormat="1" ht="20.100000000000001" customHeight="1" x14ac:dyDescent="0.3">
      <c r="A334" s="9">
        <v>332</v>
      </c>
      <c r="B334" s="9" t="s">
        <v>727</v>
      </c>
      <c r="C334" s="17" t="s">
        <v>728</v>
      </c>
      <c r="D334" s="9" t="s">
        <v>23</v>
      </c>
      <c r="E334" s="10">
        <v>46113</v>
      </c>
      <c r="F334" s="10">
        <v>46295</v>
      </c>
      <c r="G334" s="11">
        <v>1400</v>
      </c>
      <c r="H334" s="12">
        <v>1400</v>
      </c>
      <c r="I334" s="13">
        <v>1</v>
      </c>
      <c r="J334" s="12">
        <f t="shared" si="36"/>
        <v>1400</v>
      </c>
      <c r="K334" s="12">
        <f t="shared" si="37"/>
        <v>77</v>
      </c>
      <c r="L334" s="12">
        <f t="shared" si="38"/>
        <v>182</v>
      </c>
      <c r="M334" s="12">
        <f t="shared" si="39"/>
        <v>1582</v>
      </c>
      <c r="N334" s="12">
        <f t="shared" si="40"/>
        <v>1323</v>
      </c>
      <c r="O334" s="12">
        <v>122.28</v>
      </c>
      <c r="P334" s="12">
        <f t="shared" si="35"/>
        <v>199.28</v>
      </c>
      <c r="Q334" s="12">
        <f t="shared" si="41"/>
        <v>1200.72</v>
      </c>
    </row>
    <row r="335" spans="1:83" s="9" customFormat="1" ht="20.100000000000001" customHeight="1" x14ac:dyDescent="0.3">
      <c r="A335" s="9">
        <v>333</v>
      </c>
      <c r="B335" s="9" t="s">
        <v>729</v>
      </c>
      <c r="C335" s="9" t="s">
        <v>730</v>
      </c>
      <c r="D335" s="9" t="s">
        <v>23</v>
      </c>
      <c r="E335" s="10">
        <v>46113</v>
      </c>
      <c r="F335" s="10">
        <v>46295</v>
      </c>
      <c r="G335" s="11">
        <v>1400</v>
      </c>
      <c r="H335" s="12">
        <v>1400</v>
      </c>
      <c r="I335" s="13">
        <v>1</v>
      </c>
      <c r="J335" s="12">
        <f t="shared" si="36"/>
        <v>1400</v>
      </c>
      <c r="K335" s="12">
        <f t="shared" si="37"/>
        <v>77</v>
      </c>
      <c r="L335" s="12">
        <f t="shared" si="38"/>
        <v>182</v>
      </c>
      <c r="M335" s="12">
        <f t="shared" si="39"/>
        <v>1582</v>
      </c>
      <c r="N335" s="12">
        <f t="shared" si="40"/>
        <v>1323</v>
      </c>
      <c r="O335" s="12">
        <v>122.28</v>
      </c>
      <c r="P335" s="12">
        <f t="shared" si="35"/>
        <v>199.28</v>
      </c>
      <c r="Q335" s="12">
        <f t="shared" si="41"/>
        <v>1200.72</v>
      </c>
    </row>
    <row r="336" spans="1:83" s="16" customFormat="1" ht="20.100000000000001" customHeight="1" x14ac:dyDescent="0.3">
      <c r="A336" s="9">
        <v>334</v>
      </c>
      <c r="B336" s="9" t="s">
        <v>731</v>
      </c>
      <c r="C336" s="9" t="s">
        <v>732</v>
      </c>
      <c r="D336" s="9" t="s">
        <v>124</v>
      </c>
      <c r="E336" s="10">
        <v>46113</v>
      </c>
      <c r="F336" s="10">
        <v>46295</v>
      </c>
      <c r="G336" s="11">
        <v>1400</v>
      </c>
      <c r="H336" s="12">
        <v>1400</v>
      </c>
      <c r="I336" s="13">
        <v>1</v>
      </c>
      <c r="J336" s="12">
        <f t="shared" si="36"/>
        <v>1400</v>
      </c>
      <c r="K336" s="12">
        <f t="shared" si="37"/>
        <v>77</v>
      </c>
      <c r="L336" s="12">
        <f t="shared" si="38"/>
        <v>182</v>
      </c>
      <c r="M336" s="12">
        <f t="shared" si="39"/>
        <v>1582</v>
      </c>
      <c r="N336" s="12">
        <f t="shared" si="40"/>
        <v>1323</v>
      </c>
      <c r="O336" s="12">
        <v>122.28</v>
      </c>
      <c r="P336" s="12">
        <f t="shared" si="35"/>
        <v>199.28</v>
      </c>
      <c r="Q336" s="12">
        <f t="shared" si="41"/>
        <v>1200.72</v>
      </c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</row>
    <row r="337" spans="1:83" s="9" customFormat="1" ht="20.100000000000001" customHeight="1" x14ac:dyDescent="0.3">
      <c r="A337" s="9">
        <v>335</v>
      </c>
      <c r="B337" s="9" t="s">
        <v>733</v>
      </c>
      <c r="C337" s="9" t="s">
        <v>734</v>
      </c>
      <c r="D337" s="9" t="s">
        <v>603</v>
      </c>
      <c r="E337" s="10">
        <v>46055</v>
      </c>
      <c r="F337" s="10">
        <v>46234</v>
      </c>
      <c r="G337" s="11">
        <v>1400</v>
      </c>
      <c r="H337" s="12">
        <v>1400</v>
      </c>
      <c r="I337" s="13">
        <v>1</v>
      </c>
      <c r="J337" s="12">
        <f t="shared" si="36"/>
        <v>1400</v>
      </c>
      <c r="K337" s="12">
        <f t="shared" si="37"/>
        <v>77</v>
      </c>
      <c r="L337" s="12">
        <f t="shared" si="38"/>
        <v>182</v>
      </c>
      <c r="M337" s="12">
        <f t="shared" si="39"/>
        <v>1582</v>
      </c>
      <c r="N337" s="12">
        <f t="shared" si="40"/>
        <v>1323</v>
      </c>
      <c r="O337" s="12">
        <v>122.28</v>
      </c>
      <c r="P337" s="12">
        <f t="shared" si="35"/>
        <v>199.28</v>
      </c>
      <c r="Q337" s="12">
        <f t="shared" si="41"/>
        <v>1200.72</v>
      </c>
    </row>
    <row r="338" spans="1:83" s="16" customFormat="1" ht="20.100000000000001" customHeight="1" x14ac:dyDescent="0.3">
      <c r="A338" s="9">
        <v>336</v>
      </c>
      <c r="B338" s="9" t="s">
        <v>735</v>
      </c>
      <c r="C338" s="9" t="s">
        <v>736</v>
      </c>
      <c r="D338" s="9" t="s">
        <v>603</v>
      </c>
      <c r="E338" s="10">
        <v>46055</v>
      </c>
      <c r="F338" s="10">
        <v>46234</v>
      </c>
      <c r="G338" s="11">
        <v>1400</v>
      </c>
      <c r="H338" s="12">
        <v>1400</v>
      </c>
      <c r="I338" s="13">
        <v>1</v>
      </c>
      <c r="J338" s="12">
        <f t="shared" si="36"/>
        <v>1400</v>
      </c>
      <c r="K338" s="12">
        <f t="shared" si="37"/>
        <v>77</v>
      </c>
      <c r="L338" s="12">
        <f t="shared" si="38"/>
        <v>182</v>
      </c>
      <c r="M338" s="12">
        <f t="shared" si="39"/>
        <v>1582</v>
      </c>
      <c r="N338" s="12">
        <f t="shared" si="40"/>
        <v>1323</v>
      </c>
      <c r="O338" s="12">
        <v>122.28</v>
      </c>
      <c r="P338" s="12">
        <f t="shared" si="35"/>
        <v>199.28</v>
      </c>
      <c r="Q338" s="12">
        <f t="shared" si="41"/>
        <v>1200.72</v>
      </c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</row>
    <row r="339" spans="1:83" s="9" customFormat="1" ht="20.100000000000001" customHeight="1" x14ac:dyDescent="0.3">
      <c r="A339" s="9">
        <v>337</v>
      </c>
      <c r="B339" s="9" t="s">
        <v>737</v>
      </c>
      <c r="C339" s="9" t="s">
        <v>738</v>
      </c>
      <c r="D339" s="9" t="s">
        <v>603</v>
      </c>
      <c r="E339" s="10">
        <v>46055</v>
      </c>
      <c r="F339" s="10">
        <v>46234</v>
      </c>
      <c r="G339" s="11">
        <v>1400</v>
      </c>
      <c r="H339" s="12">
        <v>1400</v>
      </c>
      <c r="I339" s="13">
        <v>1</v>
      </c>
      <c r="J339" s="12">
        <f t="shared" si="36"/>
        <v>1400</v>
      </c>
      <c r="K339" s="12">
        <f t="shared" si="37"/>
        <v>77</v>
      </c>
      <c r="L339" s="12">
        <f t="shared" si="38"/>
        <v>182</v>
      </c>
      <c r="M339" s="12">
        <f t="shared" si="39"/>
        <v>1582</v>
      </c>
      <c r="N339" s="12">
        <f t="shared" si="40"/>
        <v>1323</v>
      </c>
      <c r="O339" s="12">
        <v>122.28</v>
      </c>
      <c r="P339" s="12">
        <f t="shared" si="35"/>
        <v>199.28</v>
      </c>
      <c r="Q339" s="12">
        <f t="shared" si="41"/>
        <v>1200.72</v>
      </c>
    </row>
    <row r="340" spans="1:83" s="9" customFormat="1" ht="20.100000000000001" customHeight="1" x14ac:dyDescent="0.3">
      <c r="A340" s="9">
        <v>338</v>
      </c>
      <c r="B340" s="9" t="s">
        <v>739</v>
      </c>
      <c r="C340" s="9" t="s">
        <v>740</v>
      </c>
      <c r="D340" s="9" t="s">
        <v>603</v>
      </c>
      <c r="E340" s="10">
        <v>46055</v>
      </c>
      <c r="F340" s="10">
        <v>46234</v>
      </c>
      <c r="G340" s="11">
        <v>1400</v>
      </c>
      <c r="H340" s="12">
        <v>1400</v>
      </c>
      <c r="I340" s="13">
        <v>1</v>
      </c>
      <c r="J340" s="12">
        <f t="shared" si="36"/>
        <v>1400</v>
      </c>
      <c r="K340" s="12">
        <f t="shared" si="37"/>
        <v>77</v>
      </c>
      <c r="L340" s="12">
        <f t="shared" si="38"/>
        <v>182</v>
      </c>
      <c r="M340" s="12">
        <f t="shared" si="39"/>
        <v>1582</v>
      </c>
      <c r="N340" s="12">
        <f t="shared" si="40"/>
        <v>1323</v>
      </c>
      <c r="O340" s="12">
        <v>122.28</v>
      </c>
      <c r="P340" s="12">
        <f t="shared" si="35"/>
        <v>199.28</v>
      </c>
      <c r="Q340" s="12">
        <f t="shared" si="41"/>
        <v>1200.72</v>
      </c>
    </row>
    <row r="341" spans="1:83" s="9" customFormat="1" ht="20.100000000000001" customHeight="1" x14ac:dyDescent="0.3">
      <c r="A341" s="9">
        <v>339</v>
      </c>
      <c r="B341" s="9" t="s">
        <v>741</v>
      </c>
      <c r="C341" s="9" t="s">
        <v>742</v>
      </c>
      <c r="D341" s="9" t="s">
        <v>603</v>
      </c>
      <c r="E341" s="10">
        <v>46055</v>
      </c>
      <c r="F341" s="10">
        <v>46234</v>
      </c>
      <c r="G341" s="11">
        <v>1400</v>
      </c>
      <c r="H341" s="12">
        <v>1400</v>
      </c>
      <c r="I341" s="13">
        <v>1</v>
      </c>
      <c r="J341" s="12">
        <f t="shared" si="36"/>
        <v>1400</v>
      </c>
      <c r="K341" s="12">
        <f t="shared" si="37"/>
        <v>77</v>
      </c>
      <c r="L341" s="12">
        <f t="shared" si="38"/>
        <v>182</v>
      </c>
      <c r="M341" s="12">
        <f t="shared" si="39"/>
        <v>1582</v>
      </c>
      <c r="N341" s="12">
        <f t="shared" si="40"/>
        <v>1323</v>
      </c>
      <c r="O341" s="12">
        <v>122.28</v>
      </c>
      <c r="P341" s="12">
        <f t="shared" si="35"/>
        <v>199.28</v>
      </c>
      <c r="Q341" s="12">
        <f t="shared" si="41"/>
        <v>1200.72</v>
      </c>
    </row>
    <row r="342" spans="1:83" s="9" customFormat="1" ht="20.100000000000001" customHeight="1" x14ac:dyDescent="0.3">
      <c r="A342" s="9">
        <v>340</v>
      </c>
      <c r="B342" s="9" t="s">
        <v>743</v>
      </c>
      <c r="C342" s="9" t="s">
        <v>744</v>
      </c>
      <c r="D342" s="9" t="s">
        <v>603</v>
      </c>
      <c r="E342" s="10">
        <v>46055</v>
      </c>
      <c r="F342" s="10">
        <v>46234</v>
      </c>
      <c r="G342" s="11">
        <v>1400</v>
      </c>
      <c r="H342" s="12">
        <v>1400</v>
      </c>
      <c r="I342" s="13">
        <v>1</v>
      </c>
      <c r="J342" s="12">
        <f t="shared" si="36"/>
        <v>1400</v>
      </c>
      <c r="K342" s="12">
        <f t="shared" si="37"/>
        <v>77</v>
      </c>
      <c r="L342" s="12">
        <f t="shared" si="38"/>
        <v>182</v>
      </c>
      <c r="M342" s="12">
        <f t="shared" si="39"/>
        <v>1582</v>
      </c>
      <c r="N342" s="12">
        <f t="shared" si="40"/>
        <v>1323</v>
      </c>
      <c r="O342" s="12">
        <v>122.28</v>
      </c>
      <c r="P342" s="12">
        <f t="shared" si="35"/>
        <v>199.28</v>
      </c>
      <c r="Q342" s="12">
        <f t="shared" si="41"/>
        <v>1200.72</v>
      </c>
    </row>
    <row r="343" spans="1:83" s="9" customFormat="1" ht="20.100000000000001" customHeight="1" x14ac:dyDescent="0.3">
      <c r="A343" s="9">
        <v>341</v>
      </c>
      <c r="B343" s="9" t="s">
        <v>745</v>
      </c>
      <c r="C343" s="9" t="s">
        <v>746</v>
      </c>
      <c r="D343" s="9" t="s">
        <v>116</v>
      </c>
      <c r="E343" s="10">
        <v>46113</v>
      </c>
      <c r="F343" s="10">
        <v>46295</v>
      </c>
      <c r="G343" s="11">
        <v>1400</v>
      </c>
      <c r="H343" s="12">
        <v>1400</v>
      </c>
      <c r="I343" s="13">
        <v>1</v>
      </c>
      <c r="J343" s="12">
        <f t="shared" si="36"/>
        <v>1400</v>
      </c>
      <c r="K343" s="12">
        <f t="shared" si="37"/>
        <v>77</v>
      </c>
      <c r="L343" s="12">
        <f t="shared" si="38"/>
        <v>182</v>
      </c>
      <c r="M343" s="12">
        <f t="shared" si="39"/>
        <v>1582</v>
      </c>
      <c r="N343" s="12">
        <f t="shared" si="40"/>
        <v>1323</v>
      </c>
      <c r="O343" s="12">
        <v>122.28</v>
      </c>
      <c r="P343" s="12">
        <f t="shared" si="35"/>
        <v>199.28</v>
      </c>
      <c r="Q343" s="12">
        <f t="shared" si="41"/>
        <v>1200.72</v>
      </c>
    </row>
    <row r="344" spans="1:83" s="9" customFormat="1" ht="20.100000000000001" customHeight="1" x14ac:dyDescent="0.3">
      <c r="A344" s="9">
        <v>342</v>
      </c>
      <c r="B344" s="9" t="s">
        <v>747</v>
      </c>
      <c r="C344" s="9" t="s">
        <v>748</v>
      </c>
      <c r="D344" s="9" t="s">
        <v>353</v>
      </c>
      <c r="E344" s="10">
        <v>46113</v>
      </c>
      <c r="F344" s="10">
        <v>46295</v>
      </c>
      <c r="G344" s="11">
        <v>1400</v>
      </c>
      <c r="H344" s="12">
        <v>1400</v>
      </c>
      <c r="I344" s="13">
        <v>1</v>
      </c>
      <c r="J344" s="12">
        <f t="shared" si="36"/>
        <v>1400</v>
      </c>
      <c r="K344" s="12">
        <f t="shared" si="37"/>
        <v>77</v>
      </c>
      <c r="L344" s="12">
        <f t="shared" si="38"/>
        <v>182</v>
      </c>
      <c r="M344" s="12">
        <f t="shared" si="39"/>
        <v>1582</v>
      </c>
      <c r="N344" s="12">
        <f t="shared" si="40"/>
        <v>1323</v>
      </c>
      <c r="O344" s="12">
        <v>122.28</v>
      </c>
      <c r="P344" s="12">
        <f t="shared" ref="P344:P407" si="42">K344+O344</f>
        <v>199.28</v>
      </c>
      <c r="Q344" s="12">
        <f t="shared" si="41"/>
        <v>1200.72</v>
      </c>
    </row>
    <row r="345" spans="1:83" s="9" customFormat="1" ht="20.100000000000001" customHeight="1" x14ac:dyDescent="0.3">
      <c r="A345" s="9">
        <v>343</v>
      </c>
      <c r="B345" s="9" t="s">
        <v>749</v>
      </c>
      <c r="C345" s="9" t="s">
        <v>750</v>
      </c>
      <c r="D345" s="9" t="s">
        <v>181</v>
      </c>
      <c r="E345" s="10">
        <v>46113</v>
      </c>
      <c r="F345" s="10">
        <v>46295</v>
      </c>
      <c r="G345" s="11">
        <v>1400</v>
      </c>
      <c r="H345" s="12">
        <v>1400</v>
      </c>
      <c r="I345" s="13">
        <v>1</v>
      </c>
      <c r="J345" s="12">
        <f t="shared" si="36"/>
        <v>1400</v>
      </c>
      <c r="K345" s="12">
        <f t="shared" si="37"/>
        <v>77</v>
      </c>
      <c r="L345" s="12">
        <f t="shared" si="38"/>
        <v>182</v>
      </c>
      <c r="M345" s="12">
        <f t="shared" si="39"/>
        <v>1582</v>
      </c>
      <c r="N345" s="12">
        <f t="shared" si="40"/>
        <v>1323</v>
      </c>
      <c r="O345" s="12">
        <v>122.28</v>
      </c>
      <c r="P345" s="12">
        <f t="shared" si="42"/>
        <v>199.28</v>
      </c>
      <c r="Q345" s="12">
        <f t="shared" si="41"/>
        <v>1200.72</v>
      </c>
    </row>
    <row r="346" spans="1:83" s="9" customFormat="1" ht="20.100000000000001" customHeight="1" x14ac:dyDescent="0.3">
      <c r="A346" s="9">
        <v>344</v>
      </c>
      <c r="B346" s="9" t="s">
        <v>751</v>
      </c>
      <c r="C346" s="9" t="s">
        <v>752</v>
      </c>
      <c r="D346" s="9" t="s">
        <v>603</v>
      </c>
      <c r="E346" s="10">
        <v>46055</v>
      </c>
      <c r="F346" s="10">
        <v>46234</v>
      </c>
      <c r="G346" s="11">
        <v>1400</v>
      </c>
      <c r="H346" s="12">
        <v>1400</v>
      </c>
      <c r="I346" s="13">
        <v>1</v>
      </c>
      <c r="J346" s="12">
        <f t="shared" si="36"/>
        <v>1400</v>
      </c>
      <c r="K346" s="12">
        <f t="shared" si="37"/>
        <v>77</v>
      </c>
      <c r="L346" s="12">
        <f t="shared" si="38"/>
        <v>182</v>
      </c>
      <c r="M346" s="12">
        <f t="shared" si="39"/>
        <v>1582</v>
      </c>
      <c r="N346" s="12">
        <f t="shared" si="40"/>
        <v>1323</v>
      </c>
      <c r="O346" s="12">
        <v>122.28</v>
      </c>
      <c r="P346" s="12">
        <f t="shared" si="42"/>
        <v>199.28</v>
      </c>
      <c r="Q346" s="12">
        <f t="shared" si="41"/>
        <v>1200.72</v>
      </c>
    </row>
    <row r="347" spans="1:83" s="9" customFormat="1" ht="20.100000000000001" customHeight="1" x14ac:dyDescent="0.3">
      <c r="A347" s="9">
        <v>345</v>
      </c>
      <c r="B347" s="9" t="s">
        <v>753</v>
      </c>
      <c r="C347" s="9" t="s">
        <v>754</v>
      </c>
      <c r="D347" s="9" t="s">
        <v>124</v>
      </c>
      <c r="E347" s="10">
        <v>46113</v>
      </c>
      <c r="F347" s="10">
        <v>46295</v>
      </c>
      <c r="G347" s="11">
        <v>1400</v>
      </c>
      <c r="H347" s="12">
        <v>1400</v>
      </c>
      <c r="I347" s="13">
        <v>1</v>
      </c>
      <c r="J347" s="12">
        <f t="shared" si="36"/>
        <v>1400</v>
      </c>
      <c r="K347" s="12">
        <f t="shared" si="37"/>
        <v>77</v>
      </c>
      <c r="L347" s="12">
        <f t="shared" si="38"/>
        <v>182</v>
      </c>
      <c r="M347" s="12">
        <f t="shared" si="39"/>
        <v>1582</v>
      </c>
      <c r="N347" s="12">
        <f t="shared" si="40"/>
        <v>1323</v>
      </c>
      <c r="O347" s="12">
        <v>122.28</v>
      </c>
      <c r="P347" s="12">
        <f t="shared" si="42"/>
        <v>199.28</v>
      </c>
      <c r="Q347" s="12">
        <f t="shared" si="41"/>
        <v>1200.72</v>
      </c>
    </row>
    <row r="348" spans="1:83" s="9" customFormat="1" ht="20.100000000000001" customHeight="1" x14ac:dyDescent="0.3">
      <c r="A348" s="9">
        <v>346</v>
      </c>
      <c r="B348" s="9" t="s">
        <v>755</v>
      </c>
      <c r="C348" s="9" t="s">
        <v>756</v>
      </c>
      <c r="D348" s="14" t="s">
        <v>26</v>
      </c>
      <c r="E348" s="10">
        <v>46113</v>
      </c>
      <c r="F348" s="10">
        <v>46295</v>
      </c>
      <c r="G348" s="11">
        <v>1400</v>
      </c>
      <c r="H348" s="12">
        <v>1400</v>
      </c>
      <c r="I348" s="13">
        <v>1</v>
      </c>
      <c r="J348" s="12">
        <f t="shared" si="36"/>
        <v>1400</v>
      </c>
      <c r="K348" s="12">
        <f t="shared" si="37"/>
        <v>77</v>
      </c>
      <c r="L348" s="12">
        <f t="shared" si="38"/>
        <v>182</v>
      </c>
      <c r="M348" s="12">
        <f t="shared" si="39"/>
        <v>1582</v>
      </c>
      <c r="N348" s="12">
        <f t="shared" si="40"/>
        <v>1323</v>
      </c>
      <c r="O348" s="12">
        <v>122.28</v>
      </c>
      <c r="P348" s="12">
        <f t="shared" si="42"/>
        <v>199.28</v>
      </c>
      <c r="Q348" s="12">
        <f t="shared" si="41"/>
        <v>1200.72</v>
      </c>
    </row>
    <row r="349" spans="1:83" s="9" customFormat="1" ht="20.100000000000001" customHeight="1" x14ac:dyDescent="0.3">
      <c r="A349" s="9">
        <v>347</v>
      </c>
      <c r="B349" s="9" t="s">
        <v>757</v>
      </c>
      <c r="C349" s="9" t="s">
        <v>758</v>
      </c>
      <c r="D349" s="9" t="s">
        <v>192</v>
      </c>
      <c r="E349" s="10">
        <v>46083</v>
      </c>
      <c r="F349" s="10">
        <v>46265</v>
      </c>
      <c r="G349" s="11">
        <v>1400</v>
      </c>
      <c r="H349" s="12">
        <v>1400</v>
      </c>
      <c r="I349" s="13">
        <v>1</v>
      </c>
      <c r="J349" s="12">
        <f t="shared" si="36"/>
        <v>1400</v>
      </c>
      <c r="K349" s="12">
        <f t="shared" si="37"/>
        <v>77</v>
      </c>
      <c r="L349" s="12">
        <f t="shared" si="38"/>
        <v>182</v>
      </c>
      <c r="M349" s="12">
        <f t="shared" si="39"/>
        <v>1582</v>
      </c>
      <c r="N349" s="12">
        <f t="shared" si="40"/>
        <v>1323</v>
      </c>
      <c r="O349" s="12">
        <v>122.28</v>
      </c>
      <c r="P349" s="12">
        <f t="shared" si="42"/>
        <v>199.28</v>
      </c>
      <c r="Q349" s="12">
        <f t="shared" si="41"/>
        <v>1200.72</v>
      </c>
    </row>
    <row r="350" spans="1:83" s="9" customFormat="1" ht="20.100000000000001" customHeight="1" x14ac:dyDescent="0.3">
      <c r="A350" s="9">
        <v>348</v>
      </c>
      <c r="B350" s="9" t="s">
        <v>759</v>
      </c>
      <c r="C350" s="9" t="s">
        <v>760</v>
      </c>
      <c r="D350" s="9" t="s">
        <v>192</v>
      </c>
      <c r="E350" s="10">
        <v>46113</v>
      </c>
      <c r="F350" s="10">
        <v>46295</v>
      </c>
      <c r="G350" s="11">
        <v>1400</v>
      </c>
      <c r="H350" s="12">
        <v>1400</v>
      </c>
      <c r="I350" s="13">
        <v>1</v>
      </c>
      <c r="J350" s="12">
        <f t="shared" si="36"/>
        <v>1400</v>
      </c>
      <c r="K350" s="12">
        <f t="shared" si="37"/>
        <v>77</v>
      </c>
      <c r="L350" s="12">
        <f t="shared" si="38"/>
        <v>182</v>
      </c>
      <c r="M350" s="12">
        <f t="shared" si="39"/>
        <v>1582</v>
      </c>
      <c r="N350" s="12">
        <f t="shared" si="40"/>
        <v>1323</v>
      </c>
      <c r="O350" s="12">
        <v>122.28</v>
      </c>
      <c r="P350" s="12">
        <f t="shared" si="42"/>
        <v>199.28</v>
      </c>
      <c r="Q350" s="12">
        <f t="shared" si="41"/>
        <v>1200.72</v>
      </c>
    </row>
    <row r="351" spans="1:83" s="9" customFormat="1" ht="20.100000000000001" customHeight="1" x14ac:dyDescent="0.3">
      <c r="A351" s="9">
        <v>349</v>
      </c>
      <c r="B351" s="9" t="s">
        <v>761</v>
      </c>
      <c r="C351" s="9" t="s">
        <v>762</v>
      </c>
      <c r="D351" s="9" t="s">
        <v>192</v>
      </c>
      <c r="E351" s="10">
        <v>46113</v>
      </c>
      <c r="F351" s="10">
        <v>46295</v>
      </c>
      <c r="G351" s="11">
        <v>1400</v>
      </c>
      <c r="H351" s="12">
        <v>1400</v>
      </c>
      <c r="I351" s="13">
        <v>1</v>
      </c>
      <c r="J351" s="12">
        <f t="shared" si="36"/>
        <v>1400</v>
      </c>
      <c r="K351" s="12">
        <f t="shared" si="37"/>
        <v>77</v>
      </c>
      <c r="L351" s="12">
        <f t="shared" si="38"/>
        <v>182</v>
      </c>
      <c r="M351" s="12">
        <f t="shared" si="39"/>
        <v>1582</v>
      </c>
      <c r="N351" s="12">
        <f t="shared" si="40"/>
        <v>1323</v>
      </c>
      <c r="O351" s="12">
        <v>122.28</v>
      </c>
      <c r="P351" s="12">
        <f t="shared" si="42"/>
        <v>199.28</v>
      </c>
      <c r="Q351" s="12">
        <f t="shared" si="41"/>
        <v>1200.72</v>
      </c>
    </row>
    <row r="352" spans="1:83" s="9" customFormat="1" ht="20.100000000000001" customHeight="1" x14ac:dyDescent="0.3">
      <c r="A352" s="9">
        <v>350</v>
      </c>
      <c r="B352" s="9" t="s">
        <v>763</v>
      </c>
      <c r="C352" s="9" t="s">
        <v>764</v>
      </c>
      <c r="D352" s="9" t="s">
        <v>42</v>
      </c>
      <c r="E352" s="15">
        <v>46113</v>
      </c>
      <c r="F352" s="15">
        <v>46295</v>
      </c>
      <c r="G352" s="11">
        <v>1400</v>
      </c>
      <c r="H352" s="12">
        <v>1400</v>
      </c>
      <c r="I352" s="13">
        <v>1</v>
      </c>
      <c r="J352" s="12">
        <f t="shared" si="36"/>
        <v>1400</v>
      </c>
      <c r="K352" s="12">
        <f t="shared" si="37"/>
        <v>77</v>
      </c>
      <c r="L352" s="12">
        <f t="shared" si="38"/>
        <v>182</v>
      </c>
      <c r="M352" s="12">
        <f t="shared" si="39"/>
        <v>1582</v>
      </c>
      <c r="N352" s="12">
        <f t="shared" si="40"/>
        <v>1323</v>
      </c>
      <c r="O352" s="12">
        <v>122.28</v>
      </c>
      <c r="P352" s="12">
        <f t="shared" si="42"/>
        <v>199.28</v>
      </c>
      <c r="Q352" s="12">
        <f t="shared" si="41"/>
        <v>1200.72</v>
      </c>
    </row>
    <row r="353" spans="1:17" s="9" customFormat="1" ht="20.100000000000001" customHeight="1" x14ac:dyDescent="0.3">
      <c r="A353" s="9">
        <v>351</v>
      </c>
      <c r="B353" s="9" t="s">
        <v>765</v>
      </c>
      <c r="C353" s="9" t="s">
        <v>766</v>
      </c>
      <c r="D353" s="9" t="s">
        <v>42</v>
      </c>
      <c r="E353" s="15">
        <v>46113</v>
      </c>
      <c r="F353" s="15">
        <v>46295</v>
      </c>
      <c r="G353" s="11">
        <v>1400</v>
      </c>
      <c r="H353" s="12">
        <v>1400</v>
      </c>
      <c r="I353" s="13">
        <v>1</v>
      </c>
      <c r="J353" s="12">
        <f t="shared" si="36"/>
        <v>1400</v>
      </c>
      <c r="K353" s="12">
        <f t="shared" si="37"/>
        <v>77</v>
      </c>
      <c r="L353" s="12">
        <f t="shared" si="38"/>
        <v>182</v>
      </c>
      <c r="M353" s="12">
        <f t="shared" si="39"/>
        <v>1582</v>
      </c>
      <c r="N353" s="12">
        <f t="shared" si="40"/>
        <v>1323</v>
      </c>
      <c r="O353" s="12">
        <v>122.28</v>
      </c>
      <c r="P353" s="12">
        <f t="shared" si="42"/>
        <v>199.28</v>
      </c>
      <c r="Q353" s="12">
        <f t="shared" si="41"/>
        <v>1200.72</v>
      </c>
    </row>
    <row r="354" spans="1:17" s="9" customFormat="1" ht="20.100000000000001" customHeight="1" x14ac:dyDescent="0.3">
      <c r="A354" s="9">
        <v>352</v>
      </c>
      <c r="B354" s="9" t="s">
        <v>767</v>
      </c>
      <c r="C354" s="9" t="s">
        <v>768</v>
      </c>
      <c r="D354" s="9" t="s">
        <v>42</v>
      </c>
      <c r="E354" s="15">
        <v>46113</v>
      </c>
      <c r="F354" s="15">
        <v>46295</v>
      </c>
      <c r="G354" s="11">
        <v>1400</v>
      </c>
      <c r="H354" s="12">
        <v>1400</v>
      </c>
      <c r="I354" s="13">
        <v>1</v>
      </c>
      <c r="J354" s="12">
        <f t="shared" si="36"/>
        <v>1400</v>
      </c>
      <c r="K354" s="12">
        <f t="shared" si="37"/>
        <v>77</v>
      </c>
      <c r="L354" s="12">
        <f t="shared" si="38"/>
        <v>182</v>
      </c>
      <c r="M354" s="12">
        <f t="shared" si="39"/>
        <v>1582</v>
      </c>
      <c r="N354" s="12">
        <f t="shared" si="40"/>
        <v>1323</v>
      </c>
      <c r="O354" s="12">
        <v>122.28</v>
      </c>
      <c r="P354" s="12">
        <f t="shared" si="42"/>
        <v>199.28</v>
      </c>
      <c r="Q354" s="12">
        <f t="shared" si="41"/>
        <v>1200.72</v>
      </c>
    </row>
    <row r="355" spans="1:17" s="9" customFormat="1" ht="20.100000000000001" customHeight="1" x14ac:dyDescent="0.3">
      <c r="A355" s="9">
        <v>353</v>
      </c>
      <c r="B355" s="9" t="s">
        <v>769</v>
      </c>
      <c r="C355" s="9" t="s">
        <v>770</v>
      </c>
      <c r="D355" s="9" t="s">
        <v>42</v>
      </c>
      <c r="E355" s="15">
        <v>46113</v>
      </c>
      <c r="F355" s="15">
        <v>46295</v>
      </c>
      <c r="G355" s="11">
        <v>1400</v>
      </c>
      <c r="H355" s="12">
        <v>1400</v>
      </c>
      <c r="I355" s="13">
        <v>1</v>
      </c>
      <c r="J355" s="12">
        <f t="shared" si="36"/>
        <v>1400</v>
      </c>
      <c r="K355" s="12">
        <f t="shared" si="37"/>
        <v>77</v>
      </c>
      <c r="L355" s="12">
        <f t="shared" si="38"/>
        <v>182</v>
      </c>
      <c r="M355" s="12">
        <f t="shared" si="39"/>
        <v>1582</v>
      </c>
      <c r="N355" s="12">
        <f t="shared" si="40"/>
        <v>1323</v>
      </c>
      <c r="O355" s="12">
        <v>122.28</v>
      </c>
      <c r="P355" s="12">
        <f t="shared" si="42"/>
        <v>199.28</v>
      </c>
      <c r="Q355" s="12">
        <f t="shared" si="41"/>
        <v>1200.72</v>
      </c>
    </row>
    <row r="356" spans="1:17" s="9" customFormat="1" ht="20.100000000000001" customHeight="1" x14ac:dyDescent="0.3">
      <c r="A356" s="9">
        <v>354</v>
      </c>
      <c r="B356" s="9" t="s">
        <v>771</v>
      </c>
      <c r="C356" s="9" t="s">
        <v>772</v>
      </c>
      <c r="D356" s="9" t="s">
        <v>42</v>
      </c>
      <c r="E356" s="15">
        <v>46113</v>
      </c>
      <c r="F356" s="15">
        <v>46295</v>
      </c>
      <c r="G356" s="11">
        <v>1400</v>
      </c>
      <c r="H356" s="12">
        <v>1400</v>
      </c>
      <c r="I356" s="13">
        <v>1</v>
      </c>
      <c r="J356" s="12">
        <f t="shared" si="36"/>
        <v>1400</v>
      </c>
      <c r="K356" s="12">
        <f t="shared" si="37"/>
        <v>77</v>
      </c>
      <c r="L356" s="12">
        <f t="shared" si="38"/>
        <v>182</v>
      </c>
      <c r="M356" s="12">
        <f t="shared" si="39"/>
        <v>1582</v>
      </c>
      <c r="N356" s="12">
        <f t="shared" si="40"/>
        <v>1323</v>
      </c>
      <c r="O356" s="12">
        <v>122.28</v>
      </c>
      <c r="P356" s="12">
        <f t="shared" si="42"/>
        <v>199.28</v>
      </c>
      <c r="Q356" s="12">
        <f t="shared" si="41"/>
        <v>1200.72</v>
      </c>
    </row>
    <row r="357" spans="1:17" s="9" customFormat="1" ht="20.100000000000001" customHeight="1" x14ac:dyDescent="0.3">
      <c r="A357" s="9">
        <v>355</v>
      </c>
      <c r="B357" s="9" t="s">
        <v>773</v>
      </c>
      <c r="C357" s="9" t="s">
        <v>774</v>
      </c>
      <c r="D357" s="9" t="s">
        <v>42</v>
      </c>
      <c r="E357" s="15">
        <v>46113</v>
      </c>
      <c r="F357" s="15">
        <v>46295</v>
      </c>
      <c r="G357" s="11">
        <v>1400</v>
      </c>
      <c r="H357" s="12">
        <v>1400</v>
      </c>
      <c r="I357" s="13">
        <v>1</v>
      </c>
      <c r="J357" s="12">
        <f t="shared" si="36"/>
        <v>1400</v>
      </c>
      <c r="K357" s="12">
        <f t="shared" si="37"/>
        <v>77</v>
      </c>
      <c r="L357" s="12">
        <f t="shared" si="38"/>
        <v>182</v>
      </c>
      <c r="M357" s="12">
        <f t="shared" si="39"/>
        <v>1582</v>
      </c>
      <c r="N357" s="12">
        <f t="shared" si="40"/>
        <v>1323</v>
      </c>
      <c r="O357" s="12">
        <v>122.28</v>
      </c>
      <c r="P357" s="12">
        <f t="shared" si="42"/>
        <v>199.28</v>
      </c>
      <c r="Q357" s="12">
        <f t="shared" si="41"/>
        <v>1200.72</v>
      </c>
    </row>
    <row r="358" spans="1:17" s="9" customFormat="1" ht="20.100000000000001" customHeight="1" x14ac:dyDescent="0.3">
      <c r="A358" s="9">
        <v>356</v>
      </c>
      <c r="B358" s="9" t="s">
        <v>775</v>
      </c>
      <c r="C358" s="9" t="s">
        <v>776</v>
      </c>
      <c r="D358" s="9" t="s">
        <v>192</v>
      </c>
      <c r="E358" s="10">
        <v>46113</v>
      </c>
      <c r="F358" s="10">
        <v>46295</v>
      </c>
      <c r="G358" s="11">
        <v>1400</v>
      </c>
      <c r="H358" s="12">
        <v>1400</v>
      </c>
      <c r="I358" s="13">
        <v>1</v>
      </c>
      <c r="J358" s="12">
        <f t="shared" si="36"/>
        <v>1400</v>
      </c>
      <c r="K358" s="12">
        <f t="shared" si="37"/>
        <v>77</v>
      </c>
      <c r="L358" s="12">
        <f t="shared" si="38"/>
        <v>182</v>
      </c>
      <c r="M358" s="12">
        <f t="shared" si="39"/>
        <v>1582</v>
      </c>
      <c r="N358" s="12">
        <f t="shared" si="40"/>
        <v>1323</v>
      </c>
      <c r="O358" s="12">
        <v>122.28</v>
      </c>
      <c r="P358" s="12">
        <f t="shared" si="42"/>
        <v>199.28</v>
      </c>
      <c r="Q358" s="12">
        <f t="shared" si="41"/>
        <v>1200.72</v>
      </c>
    </row>
    <row r="359" spans="1:17" s="9" customFormat="1" ht="20.100000000000001" customHeight="1" x14ac:dyDescent="0.3">
      <c r="A359" s="9">
        <v>357</v>
      </c>
      <c r="B359" s="9" t="s">
        <v>777</v>
      </c>
      <c r="C359" s="9" t="s">
        <v>778</v>
      </c>
      <c r="D359" s="14" t="s">
        <v>39</v>
      </c>
      <c r="E359" s="15">
        <v>46113</v>
      </c>
      <c r="F359" s="15">
        <v>46295</v>
      </c>
      <c r="G359" s="11">
        <v>1400</v>
      </c>
      <c r="H359" s="12">
        <v>1400</v>
      </c>
      <c r="I359" s="13">
        <v>1</v>
      </c>
      <c r="J359" s="12">
        <f t="shared" si="36"/>
        <v>1400</v>
      </c>
      <c r="K359" s="12">
        <f t="shared" si="37"/>
        <v>77</v>
      </c>
      <c r="L359" s="12">
        <f t="shared" si="38"/>
        <v>182</v>
      </c>
      <c r="M359" s="12">
        <f t="shared" si="39"/>
        <v>1582</v>
      </c>
      <c r="N359" s="12">
        <f t="shared" si="40"/>
        <v>1323</v>
      </c>
      <c r="O359" s="12">
        <v>122.28</v>
      </c>
      <c r="P359" s="12">
        <f t="shared" si="42"/>
        <v>199.28</v>
      </c>
      <c r="Q359" s="12">
        <f t="shared" si="41"/>
        <v>1200.72</v>
      </c>
    </row>
    <row r="360" spans="1:17" s="9" customFormat="1" ht="21.6" customHeight="1" x14ac:dyDescent="0.3">
      <c r="A360" s="9">
        <v>358</v>
      </c>
      <c r="B360" s="9" t="s">
        <v>779</v>
      </c>
      <c r="C360" s="9" t="s">
        <v>780</v>
      </c>
      <c r="D360" s="9" t="s">
        <v>192</v>
      </c>
      <c r="E360" s="10">
        <v>46083</v>
      </c>
      <c r="F360" s="10">
        <v>46264</v>
      </c>
      <c r="G360" s="11">
        <v>1400</v>
      </c>
      <c r="H360" s="12">
        <v>1400</v>
      </c>
      <c r="I360" s="13">
        <v>1</v>
      </c>
      <c r="J360" s="12">
        <f t="shared" si="36"/>
        <v>1400</v>
      </c>
      <c r="K360" s="12">
        <f t="shared" si="37"/>
        <v>77</v>
      </c>
      <c r="L360" s="12">
        <f t="shared" si="38"/>
        <v>182</v>
      </c>
      <c r="M360" s="12">
        <f t="shared" si="39"/>
        <v>1582</v>
      </c>
      <c r="N360" s="12">
        <f t="shared" si="40"/>
        <v>1323</v>
      </c>
      <c r="O360" s="12">
        <v>122.28</v>
      </c>
      <c r="P360" s="12">
        <f t="shared" si="42"/>
        <v>199.28</v>
      </c>
      <c r="Q360" s="12">
        <f t="shared" si="41"/>
        <v>1200.72</v>
      </c>
    </row>
    <row r="361" spans="1:17" s="9" customFormat="1" ht="20.100000000000001" customHeight="1" x14ac:dyDescent="0.3">
      <c r="A361" s="9">
        <v>359</v>
      </c>
      <c r="B361" s="9" t="s">
        <v>781</v>
      </c>
      <c r="C361" s="9" t="s">
        <v>782</v>
      </c>
      <c r="D361" s="9" t="s">
        <v>192</v>
      </c>
      <c r="E361" s="10">
        <v>46083</v>
      </c>
      <c r="F361" s="10">
        <v>46264</v>
      </c>
      <c r="G361" s="11">
        <v>1400</v>
      </c>
      <c r="H361" s="12">
        <v>1400</v>
      </c>
      <c r="I361" s="13">
        <v>1</v>
      </c>
      <c r="J361" s="12">
        <f t="shared" si="36"/>
        <v>1400</v>
      </c>
      <c r="K361" s="12">
        <f t="shared" si="37"/>
        <v>77</v>
      </c>
      <c r="L361" s="12">
        <f t="shared" si="38"/>
        <v>182</v>
      </c>
      <c r="M361" s="12">
        <f t="shared" si="39"/>
        <v>1582</v>
      </c>
      <c r="N361" s="12">
        <f t="shared" si="40"/>
        <v>1323</v>
      </c>
      <c r="O361" s="12">
        <v>122.28</v>
      </c>
      <c r="P361" s="12">
        <f t="shared" si="42"/>
        <v>199.28</v>
      </c>
      <c r="Q361" s="12">
        <f t="shared" si="41"/>
        <v>1200.72</v>
      </c>
    </row>
    <row r="362" spans="1:17" s="9" customFormat="1" ht="20.100000000000001" customHeight="1" x14ac:dyDescent="0.3">
      <c r="A362" s="9">
        <v>360</v>
      </c>
      <c r="B362" s="9" t="s">
        <v>783</v>
      </c>
      <c r="C362" s="9" t="s">
        <v>784</v>
      </c>
      <c r="D362" s="9" t="s">
        <v>192</v>
      </c>
      <c r="E362" s="10">
        <v>46083</v>
      </c>
      <c r="F362" s="10">
        <v>46264</v>
      </c>
      <c r="G362" s="11">
        <v>1400</v>
      </c>
      <c r="H362" s="12">
        <v>1400</v>
      </c>
      <c r="I362" s="13">
        <v>1</v>
      </c>
      <c r="J362" s="12">
        <f t="shared" si="36"/>
        <v>1400</v>
      </c>
      <c r="K362" s="12">
        <f t="shared" si="37"/>
        <v>77</v>
      </c>
      <c r="L362" s="12">
        <f t="shared" si="38"/>
        <v>182</v>
      </c>
      <c r="M362" s="12">
        <f t="shared" si="39"/>
        <v>1582</v>
      </c>
      <c r="N362" s="12">
        <f t="shared" si="40"/>
        <v>1323</v>
      </c>
      <c r="O362" s="12">
        <v>122.28</v>
      </c>
      <c r="P362" s="12">
        <f t="shared" si="42"/>
        <v>199.28</v>
      </c>
      <c r="Q362" s="12">
        <f t="shared" si="41"/>
        <v>1200.72</v>
      </c>
    </row>
    <row r="363" spans="1:17" s="9" customFormat="1" ht="20.100000000000001" customHeight="1" x14ac:dyDescent="0.3">
      <c r="A363" s="9">
        <v>361</v>
      </c>
      <c r="B363" s="9" t="s">
        <v>785</v>
      </c>
      <c r="C363" s="9" t="s">
        <v>786</v>
      </c>
      <c r="D363" s="9" t="s">
        <v>192</v>
      </c>
      <c r="E363" s="10">
        <v>46083</v>
      </c>
      <c r="F363" s="10">
        <v>46264</v>
      </c>
      <c r="G363" s="11">
        <v>1400</v>
      </c>
      <c r="H363" s="12">
        <v>1400</v>
      </c>
      <c r="I363" s="13">
        <v>1</v>
      </c>
      <c r="J363" s="12">
        <f t="shared" si="36"/>
        <v>1400</v>
      </c>
      <c r="K363" s="12">
        <f t="shared" si="37"/>
        <v>77</v>
      </c>
      <c r="L363" s="12">
        <f t="shared" si="38"/>
        <v>182</v>
      </c>
      <c r="M363" s="12">
        <f t="shared" si="39"/>
        <v>1582</v>
      </c>
      <c r="N363" s="12">
        <f t="shared" si="40"/>
        <v>1323</v>
      </c>
      <c r="O363" s="12">
        <v>122.28</v>
      </c>
      <c r="P363" s="12">
        <f t="shared" si="42"/>
        <v>199.28</v>
      </c>
      <c r="Q363" s="12">
        <f t="shared" si="41"/>
        <v>1200.72</v>
      </c>
    </row>
    <row r="364" spans="1:17" s="9" customFormat="1" ht="20.100000000000001" customHeight="1" x14ac:dyDescent="0.3">
      <c r="A364" s="9">
        <v>362</v>
      </c>
      <c r="B364" s="9" t="s">
        <v>787</v>
      </c>
      <c r="C364" s="9" t="s">
        <v>788</v>
      </c>
      <c r="D364" s="9" t="s">
        <v>789</v>
      </c>
      <c r="E364" s="10">
        <v>46113</v>
      </c>
      <c r="F364" s="10">
        <v>46295</v>
      </c>
      <c r="G364" s="11">
        <v>1400</v>
      </c>
      <c r="H364" s="12">
        <v>1400</v>
      </c>
      <c r="I364" s="13">
        <v>1</v>
      </c>
      <c r="J364" s="12">
        <f t="shared" si="36"/>
        <v>1400</v>
      </c>
      <c r="K364" s="12">
        <f t="shared" si="37"/>
        <v>77</v>
      </c>
      <c r="L364" s="12">
        <f t="shared" si="38"/>
        <v>182</v>
      </c>
      <c r="M364" s="12">
        <f t="shared" si="39"/>
        <v>1582</v>
      </c>
      <c r="N364" s="12">
        <f t="shared" si="40"/>
        <v>1323</v>
      </c>
      <c r="O364" s="12">
        <v>122.28</v>
      </c>
      <c r="P364" s="12">
        <f t="shared" si="42"/>
        <v>199.28</v>
      </c>
      <c r="Q364" s="12">
        <f t="shared" si="41"/>
        <v>1200.72</v>
      </c>
    </row>
    <row r="365" spans="1:17" s="9" customFormat="1" ht="20.100000000000001" customHeight="1" x14ac:dyDescent="0.3">
      <c r="A365" s="9">
        <v>363</v>
      </c>
      <c r="B365" s="9" t="s">
        <v>790</v>
      </c>
      <c r="C365" s="9" t="s">
        <v>791</v>
      </c>
      <c r="D365" s="9" t="s">
        <v>789</v>
      </c>
      <c r="E365" s="10">
        <v>46113</v>
      </c>
      <c r="F365" s="10">
        <v>46295</v>
      </c>
      <c r="G365" s="11">
        <v>1400</v>
      </c>
      <c r="H365" s="12">
        <v>1400</v>
      </c>
      <c r="I365" s="13">
        <v>1</v>
      </c>
      <c r="J365" s="12">
        <f t="shared" si="36"/>
        <v>1400</v>
      </c>
      <c r="K365" s="12">
        <f t="shared" si="37"/>
        <v>77</v>
      </c>
      <c r="L365" s="12">
        <f t="shared" si="38"/>
        <v>182</v>
      </c>
      <c r="M365" s="12">
        <f t="shared" si="39"/>
        <v>1582</v>
      </c>
      <c r="N365" s="12">
        <f t="shared" si="40"/>
        <v>1323</v>
      </c>
      <c r="O365" s="12">
        <v>122.28</v>
      </c>
      <c r="P365" s="12">
        <f t="shared" si="42"/>
        <v>199.28</v>
      </c>
      <c r="Q365" s="12">
        <f t="shared" si="41"/>
        <v>1200.72</v>
      </c>
    </row>
    <row r="366" spans="1:17" s="9" customFormat="1" ht="20.100000000000001" customHeight="1" x14ac:dyDescent="0.3">
      <c r="A366" s="9">
        <v>364</v>
      </c>
      <c r="B366" s="9" t="s">
        <v>792</v>
      </c>
      <c r="C366" s="9" t="s">
        <v>793</v>
      </c>
      <c r="D366" s="9" t="s">
        <v>789</v>
      </c>
      <c r="E366" s="10">
        <v>46113</v>
      </c>
      <c r="F366" s="10">
        <v>46295</v>
      </c>
      <c r="G366" s="11">
        <v>1400</v>
      </c>
      <c r="H366" s="12">
        <v>1400</v>
      </c>
      <c r="I366" s="13">
        <v>1</v>
      </c>
      <c r="J366" s="12">
        <f t="shared" si="36"/>
        <v>1400</v>
      </c>
      <c r="K366" s="12">
        <f t="shared" si="37"/>
        <v>77</v>
      </c>
      <c r="L366" s="12">
        <f t="shared" si="38"/>
        <v>182</v>
      </c>
      <c r="M366" s="12">
        <f t="shared" si="39"/>
        <v>1582</v>
      </c>
      <c r="N366" s="12">
        <f t="shared" si="40"/>
        <v>1323</v>
      </c>
      <c r="O366" s="12">
        <v>122.28</v>
      </c>
      <c r="P366" s="12">
        <f t="shared" si="42"/>
        <v>199.28</v>
      </c>
      <c r="Q366" s="12">
        <f t="shared" si="41"/>
        <v>1200.72</v>
      </c>
    </row>
    <row r="367" spans="1:17" s="9" customFormat="1" ht="20.100000000000001" customHeight="1" x14ac:dyDescent="0.3">
      <c r="A367" s="9">
        <v>365</v>
      </c>
      <c r="B367" s="9" t="s">
        <v>794</v>
      </c>
      <c r="C367" s="9" t="s">
        <v>795</v>
      </c>
      <c r="D367" s="9" t="s">
        <v>796</v>
      </c>
      <c r="E367" s="10">
        <v>46113</v>
      </c>
      <c r="F367" s="10">
        <v>46295</v>
      </c>
      <c r="G367" s="11">
        <v>1400</v>
      </c>
      <c r="H367" s="12">
        <v>1400</v>
      </c>
      <c r="I367" s="13">
        <v>1</v>
      </c>
      <c r="J367" s="12">
        <f t="shared" si="36"/>
        <v>1400</v>
      </c>
      <c r="K367" s="12">
        <f t="shared" si="37"/>
        <v>77</v>
      </c>
      <c r="L367" s="12">
        <f t="shared" si="38"/>
        <v>182</v>
      </c>
      <c r="M367" s="12">
        <f t="shared" si="39"/>
        <v>1582</v>
      </c>
      <c r="N367" s="12">
        <f t="shared" si="40"/>
        <v>1323</v>
      </c>
      <c r="O367" s="12">
        <v>122.28</v>
      </c>
      <c r="P367" s="12">
        <f t="shared" si="42"/>
        <v>199.28</v>
      </c>
      <c r="Q367" s="12">
        <f t="shared" si="41"/>
        <v>1200.72</v>
      </c>
    </row>
    <row r="368" spans="1:17" s="9" customFormat="1" ht="20.100000000000001" customHeight="1" x14ac:dyDescent="0.3">
      <c r="A368" s="9">
        <v>366</v>
      </c>
      <c r="B368" s="9" t="s">
        <v>797</v>
      </c>
      <c r="C368" s="9" t="s">
        <v>798</v>
      </c>
      <c r="D368" s="9" t="s">
        <v>796</v>
      </c>
      <c r="E368" s="10">
        <v>46113</v>
      </c>
      <c r="F368" s="10">
        <v>46295</v>
      </c>
      <c r="G368" s="11">
        <v>1400</v>
      </c>
      <c r="H368" s="12">
        <v>1400</v>
      </c>
      <c r="I368" s="13">
        <v>1</v>
      </c>
      <c r="J368" s="12">
        <f t="shared" si="36"/>
        <v>1400</v>
      </c>
      <c r="K368" s="12">
        <f t="shared" si="37"/>
        <v>77</v>
      </c>
      <c r="L368" s="12">
        <f t="shared" si="38"/>
        <v>182</v>
      </c>
      <c r="M368" s="12">
        <f t="shared" si="39"/>
        <v>1582</v>
      </c>
      <c r="N368" s="12">
        <f t="shared" si="40"/>
        <v>1323</v>
      </c>
      <c r="O368" s="12">
        <v>122.28</v>
      </c>
      <c r="P368" s="12">
        <f t="shared" si="42"/>
        <v>199.28</v>
      </c>
      <c r="Q368" s="12">
        <f t="shared" si="41"/>
        <v>1200.72</v>
      </c>
    </row>
    <row r="369" spans="1:83" s="9" customFormat="1" ht="20.100000000000001" customHeight="1" x14ac:dyDescent="0.3">
      <c r="A369" s="9">
        <v>367</v>
      </c>
      <c r="B369" s="9" t="s">
        <v>799</v>
      </c>
      <c r="C369" s="9" t="s">
        <v>800</v>
      </c>
      <c r="D369" s="9" t="s">
        <v>796</v>
      </c>
      <c r="E369" s="10">
        <v>46113</v>
      </c>
      <c r="F369" s="10">
        <v>46295</v>
      </c>
      <c r="G369" s="11">
        <v>1400</v>
      </c>
      <c r="H369" s="12">
        <v>1400</v>
      </c>
      <c r="I369" s="13">
        <v>1</v>
      </c>
      <c r="J369" s="12">
        <f t="shared" si="36"/>
        <v>1400</v>
      </c>
      <c r="K369" s="12">
        <f t="shared" si="37"/>
        <v>77</v>
      </c>
      <c r="L369" s="12">
        <f t="shared" si="38"/>
        <v>182</v>
      </c>
      <c r="M369" s="12">
        <f t="shared" si="39"/>
        <v>1582</v>
      </c>
      <c r="N369" s="12">
        <f t="shared" si="40"/>
        <v>1323</v>
      </c>
      <c r="O369" s="12">
        <v>122.28</v>
      </c>
      <c r="P369" s="12">
        <f t="shared" si="42"/>
        <v>199.28</v>
      </c>
      <c r="Q369" s="12">
        <f t="shared" si="41"/>
        <v>1200.72</v>
      </c>
    </row>
    <row r="370" spans="1:83" s="9" customFormat="1" ht="20.100000000000001" customHeight="1" x14ac:dyDescent="0.3">
      <c r="A370" s="9">
        <v>368</v>
      </c>
      <c r="B370" s="9" t="s">
        <v>801</v>
      </c>
      <c r="C370" s="9" t="s">
        <v>802</v>
      </c>
      <c r="D370" s="9" t="s">
        <v>242</v>
      </c>
      <c r="E370" s="10">
        <v>46113</v>
      </c>
      <c r="F370" s="10">
        <v>46295</v>
      </c>
      <c r="G370" s="11">
        <v>1400</v>
      </c>
      <c r="H370" s="12">
        <v>1400</v>
      </c>
      <c r="I370" s="13">
        <v>1</v>
      </c>
      <c r="J370" s="12">
        <f t="shared" si="36"/>
        <v>1400</v>
      </c>
      <c r="K370" s="12">
        <f t="shared" si="37"/>
        <v>77</v>
      </c>
      <c r="L370" s="12">
        <f t="shared" si="38"/>
        <v>182</v>
      </c>
      <c r="M370" s="12">
        <f t="shared" si="39"/>
        <v>1582</v>
      </c>
      <c r="N370" s="12">
        <f t="shared" si="40"/>
        <v>1323</v>
      </c>
      <c r="O370" s="12">
        <v>122.28</v>
      </c>
      <c r="P370" s="12">
        <f t="shared" si="42"/>
        <v>199.28</v>
      </c>
      <c r="Q370" s="12">
        <f t="shared" si="41"/>
        <v>1200.72</v>
      </c>
    </row>
    <row r="371" spans="1:83" s="9" customFormat="1" ht="20.100000000000001" customHeight="1" x14ac:dyDescent="0.3">
      <c r="A371" s="9">
        <v>369</v>
      </c>
      <c r="B371" s="9" t="s">
        <v>803</v>
      </c>
      <c r="C371" s="9" t="s">
        <v>804</v>
      </c>
      <c r="D371" s="9" t="s">
        <v>353</v>
      </c>
      <c r="E371" s="10">
        <v>46113</v>
      </c>
      <c r="F371" s="10">
        <v>46295</v>
      </c>
      <c r="G371" s="11">
        <v>1400</v>
      </c>
      <c r="H371" s="12">
        <v>1400</v>
      </c>
      <c r="I371" s="13">
        <v>1</v>
      </c>
      <c r="J371" s="12">
        <f t="shared" si="36"/>
        <v>1400</v>
      </c>
      <c r="K371" s="12">
        <f t="shared" si="37"/>
        <v>77</v>
      </c>
      <c r="L371" s="12">
        <f t="shared" si="38"/>
        <v>182</v>
      </c>
      <c r="M371" s="12">
        <f t="shared" si="39"/>
        <v>1582</v>
      </c>
      <c r="N371" s="12">
        <f t="shared" si="40"/>
        <v>1323</v>
      </c>
      <c r="O371" s="12">
        <v>122.28</v>
      </c>
      <c r="P371" s="12">
        <f t="shared" si="42"/>
        <v>199.28</v>
      </c>
      <c r="Q371" s="12">
        <f t="shared" si="41"/>
        <v>1200.72</v>
      </c>
    </row>
    <row r="372" spans="1:83" s="9" customFormat="1" ht="20.100000000000001" customHeight="1" x14ac:dyDescent="0.3">
      <c r="A372" s="9">
        <v>370</v>
      </c>
      <c r="B372" s="9" t="s">
        <v>805</v>
      </c>
      <c r="C372" s="9" t="s">
        <v>806</v>
      </c>
      <c r="D372" s="9" t="s">
        <v>353</v>
      </c>
      <c r="E372" s="10">
        <v>46113</v>
      </c>
      <c r="F372" s="10">
        <v>46295</v>
      </c>
      <c r="G372" s="11">
        <v>1400</v>
      </c>
      <c r="H372" s="12">
        <v>1400</v>
      </c>
      <c r="I372" s="13">
        <v>1</v>
      </c>
      <c r="J372" s="12">
        <f t="shared" si="36"/>
        <v>1400</v>
      </c>
      <c r="K372" s="12">
        <f t="shared" si="37"/>
        <v>77</v>
      </c>
      <c r="L372" s="12">
        <f t="shared" si="38"/>
        <v>182</v>
      </c>
      <c r="M372" s="12">
        <f t="shared" si="39"/>
        <v>1582</v>
      </c>
      <c r="N372" s="12">
        <f t="shared" si="40"/>
        <v>1323</v>
      </c>
      <c r="O372" s="12">
        <v>122.28</v>
      </c>
      <c r="P372" s="12">
        <f t="shared" si="42"/>
        <v>199.28</v>
      </c>
      <c r="Q372" s="12">
        <f t="shared" si="41"/>
        <v>1200.72</v>
      </c>
    </row>
    <row r="373" spans="1:83" s="9" customFormat="1" ht="20.100000000000001" customHeight="1" x14ac:dyDescent="0.3">
      <c r="A373" s="9">
        <v>371</v>
      </c>
      <c r="B373" s="9" t="s">
        <v>807</v>
      </c>
      <c r="C373" s="9" t="s">
        <v>808</v>
      </c>
      <c r="D373" s="9" t="s">
        <v>353</v>
      </c>
      <c r="E373" s="10">
        <v>46113</v>
      </c>
      <c r="F373" s="10">
        <v>46295</v>
      </c>
      <c r="G373" s="11">
        <v>1400</v>
      </c>
      <c r="H373" s="12">
        <v>1400</v>
      </c>
      <c r="I373" s="13">
        <v>1</v>
      </c>
      <c r="J373" s="12">
        <f t="shared" si="36"/>
        <v>1400</v>
      </c>
      <c r="K373" s="12">
        <f t="shared" si="37"/>
        <v>77</v>
      </c>
      <c r="L373" s="12">
        <f t="shared" si="38"/>
        <v>182</v>
      </c>
      <c r="M373" s="12">
        <f t="shared" si="39"/>
        <v>1582</v>
      </c>
      <c r="N373" s="12">
        <f t="shared" si="40"/>
        <v>1323</v>
      </c>
      <c r="O373" s="12">
        <v>122.28</v>
      </c>
      <c r="P373" s="12">
        <f t="shared" si="42"/>
        <v>199.28</v>
      </c>
      <c r="Q373" s="12">
        <f t="shared" si="41"/>
        <v>1200.72</v>
      </c>
    </row>
    <row r="374" spans="1:83" s="9" customFormat="1" ht="20.100000000000001" customHeight="1" x14ac:dyDescent="0.3">
      <c r="A374" s="9">
        <v>372</v>
      </c>
      <c r="B374" s="9" t="s">
        <v>809</v>
      </c>
      <c r="C374" s="9" t="s">
        <v>810</v>
      </c>
      <c r="D374" s="9" t="s">
        <v>603</v>
      </c>
      <c r="E374" s="10">
        <v>46055</v>
      </c>
      <c r="F374" s="10">
        <v>46234</v>
      </c>
      <c r="G374" s="11">
        <v>1400</v>
      </c>
      <c r="H374" s="12">
        <v>1400</v>
      </c>
      <c r="I374" s="13">
        <v>1</v>
      </c>
      <c r="J374" s="12">
        <f t="shared" si="36"/>
        <v>1400</v>
      </c>
      <c r="K374" s="12">
        <f t="shared" si="37"/>
        <v>77</v>
      </c>
      <c r="L374" s="12">
        <f t="shared" si="38"/>
        <v>182</v>
      </c>
      <c r="M374" s="12">
        <f t="shared" si="39"/>
        <v>1582</v>
      </c>
      <c r="N374" s="12">
        <f t="shared" si="40"/>
        <v>1323</v>
      </c>
      <c r="O374" s="12">
        <v>122.28</v>
      </c>
      <c r="P374" s="12">
        <f t="shared" si="42"/>
        <v>199.28</v>
      </c>
      <c r="Q374" s="12">
        <f t="shared" si="41"/>
        <v>1200.72</v>
      </c>
    </row>
    <row r="375" spans="1:83" s="9" customFormat="1" ht="20.100000000000001" customHeight="1" x14ac:dyDescent="0.3">
      <c r="A375" s="9">
        <v>373</v>
      </c>
      <c r="B375" s="9" t="s">
        <v>811</v>
      </c>
      <c r="C375" s="9" t="s">
        <v>812</v>
      </c>
      <c r="D375" s="9" t="s">
        <v>192</v>
      </c>
      <c r="E375" s="10">
        <v>46083</v>
      </c>
      <c r="F375" s="10">
        <v>46265</v>
      </c>
      <c r="G375" s="11">
        <v>1400</v>
      </c>
      <c r="H375" s="12">
        <v>1400</v>
      </c>
      <c r="I375" s="13">
        <v>1</v>
      </c>
      <c r="J375" s="12">
        <f t="shared" si="36"/>
        <v>1400</v>
      </c>
      <c r="K375" s="12">
        <f t="shared" si="37"/>
        <v>77</v>
      </c>
      <c r="L375" s="12">
        <f t="shared" si="38"/>
        <v>182</v>
      </c>
      <c r="M375" s="12">
        <f t="shared" si="39"/>
        <v>1582</v>
      </c>
      <c r="N375" s="12">
        <f t="shared" si="40"/>
        <v>1323</v>
      </c>
      <c r="O375" s="12">
        <v>122.28</v>
      </c>
      <c r="P375" s="12">
        <f t="shared" si="42"/>
        <v>199.28</v>
      </c>
      <c r="Q375" s="12">
        <f t="shared" si="41"/>
        <v>1200.72</v>
      </c>
    </row>
    <row r="376" spans="1:83" s="9" customFormat="1" ht="20.100000000000001" customHeight="1" x14ac:dyDescent="0.3">
      <c r="A376" s="9">
        <v>374</v>
      </c>
      <c r="B376" s="9" t="s">
        <v>813</v>
      </c>
      <c r="C376" s="9" t="s">
        <v>814</v>
      </c>
      <c r="D376" s="9" t="s">
        <v>192</v>
      </c>
      <c r="E376" s="10">
        <v>46083</v>
      </c>
      <c r="F376" s="10">
        <v>46265</v>
      </c>
      <c r="G376" s="11">
        <v>1400</v>
      </c>
      <c r="H376" s="12">
        <v>1400</v>
      </c>
      <c r="I376" s="13">
        <v>1</v>
      </c>
      <c r="J376" s="12">
        <f t="shared" si="36"/>
        <v>1400</v>
      </c>
      <c r="K376" s="12">
        <f t="shared" si="37"/>
        <v>77</v>
      </c>
      <c r="L376" s="12">
        <f t="shared" si="38"/>
        <v>182</v>
      </c>
      <c r="M376" s="12">
        <f t="shared" si="39"/>
        <v>1582</v>
      </c>
      <c r="N376" s="12">
        <f t="shared" si="40"/>
        <v>1323</v>
      </c>
      <c r="O376" s="12">
        <v>122.28</v>
      </c>
      <c r="P376" s="12">
        <f t="shared" si="42"/>
        <v>199.28</v>
      </c>
      <c r="Q376" s="12">
        <f t="shared" si="41"/>
        <v>1200.72</v>
      </c>
    </row>
    <row r="377" spans="1:83" s="9" customFormat="1" ht="20.100000000000001" customHeight="1" x14ac:dyDescent="0.3">
      <c r="A377" s="9">
        <v>375</v>
      </c>
      <c r="B377" s="9" t="s">
        <v>815</v>
      </c>
      <c r="C377" s="9" t="s">
        <v>816</v>
      </c>
      <c r="D377" s="9" t="s">
        <v>192</v>
      </c>
      <c r="E377" s="10">
        <v>46083</v>
      </c>
      <c r="F377" s="10">
        <v>46265</v>
      </c>
      <c r="G377" s="11">
        <v>1400</v>
      </c>
      <c r="H377" s="12">
        <v>1400</v>
      </c>
      <c r="I377" s="13">
        <v>1</v>
      </c>
      <c r="J377" s="12">
        <f t="shared" si="36"/>
        <v>1400</v>
      </c>
      <c r="K377" s="12">
        <f t="shared" si="37"/>
        <v>77</v>
      </c>
      <c r="L377" s="12">
        <f t="shared" si="38"/>
        <v>182</v>
      </c>
      <c r="M377" s="12">
        <f t="shared" si="39"/>
        <v>1582</v>
      </c>
      <c r="N377" s="12">
        <f t="shared" si="40"/>
        <v>1323</v>
      </c>
      <c r="O377" s="12">
        <v>122.28</v>
      </c>
      <c r="P377" s="12">
        <f t="shared" si="42"/>
        <v>199.28</v>
      </c>
      <c r="Q377" s="12">
        <f t="shared" si="41"/>
        <v>1200.72</v>
      </c>
    </row>
    <row r="378" spans="1:83" s="9" customFormat="1" ht="20.100000000000001" customHeight="1" x14ac:dyDescent="0.3">
      <c r="A378" s="9">
        <v>376</v>
      </c>
      <c r="B378" s="9" t="s">
        <v>817</v>
      </c>
      <c r="C378" s="9" t="s">
        <v>818</v>
      </c>
      <c r="D378" s="9" t="s">
        <v>192</v>
      </c>
      <c r="E378" s="10">
        <v>46083</v>
      </c>
      <c r="F378" s="10">
        <v>46265</v>
      </c>
      <c r="G378" s="11">
        <v>1400</v>
      </c>
      <c r="H378" s="12">
        <v>1400</v>
      </c>
      <c r="I378" s="13">
        <v>1</v>
      </c>
      <c r="J378" s="12">
        <f t="shared" si="36"/>
        <v>1400</v>
      </c>
      <c r="K378" s="12">
        <f t="shared" si="37"/>
        <v>77</v>
      </c>
      <c r="L378" s="12">
        <f t="shared" si="38"/>
        <v>182</v>
      </c>
      <c r="M378" s="12">
        <f t="shared" si="39"/>
        <v>1582</v>
      </c>
      <c r="N378" s="12">
        <f t="shared" si="40"/>
        <v>1323</v>
      </c>
      <c r="O378" s="12">
        <v>122.28</v>
      </c>
      <c r="P378" s="12">
        <f t="shared" si="42"/>
        <v>199.28</v>
      </c>
      <c r="Q378" s="12">
        <f t="shared" si="41"/>
        <v>1200.72</v>
      </c>
    </row>
    <row r="379" spans="1:83" s="9" customFormat="1" ht="20.100000000000001" customHeight="1" x14ac:dyDescent="0.3">
      <c r="A379" s="9">
        <v>377</v>
      </c>
      <c r="B379" s="9" t="s">
        <v>819</v>
      </c>
      <c r="C379" s="9" t="s">
        <v>820</v>
      </c>
      <c r="D379" s="9" t="s">
        <v>821</v>
      </c>
      <c r="E379" s="10">
        <v>46113</v>
      </c>
      <c r="F379" s="10">
        <v>46295</v>
      </c>
      <c r="G379" s="11">
        <v>1400</v>
      </c>
      <c r="H379" s="12">
        <v>1400</v>
      </c>
      <c r="I379" s="13">
        <v>1</v>
      </c>
      <c r="J379" s="12">
        <f t="shared" si="36"/>
        <v>1400</v>
      </c>
      <c r="K379" s="12">
        <f t="shared" si="37"/>
        <v>77</v>
      </c>
      <c r="L379" s="12">
        <f t="shared" si="38"/>
        <v>182</v>
      </c>
      <c r="M379" s="12">
        <f t="shared" si="39"/>
        <v>1582</v>
      </c>
      <c r="N379" s="12">
        <f t="shared" si="40"/>
        <v>1323</v>
      </c>
      <c r="O379" s="12">
        <v>122.28</v>
      </c>
      <c r="P379" s="12">
        <f t="shared" si="42"/>
        <v>199.28</v>
      </c>
      <c r="Q379" s="12">
        <f t="shared" si="41"/>
        <v>1200.72</v>
      </c>
    </row>
    <row r="380" spans="1:83" s="16" customFormat="1" ht="20.100000000000001" customHeight="1" x14ac:dyDescent="0.3">
      <c r="A380" s="9">
        <v>378</v>
      </c>
      <c r="B380" s="9" t="s">
        <v>822</v>
      </c>
      <c r="C380" s="9" t="s">
        <v>823</v>
      </c>
      <c r="D380" s="9" t="s">
        <v>824</v>
      </c>
      <c r="E380" s="10">
        <v>46113</v>
      </c>
      <c r="F380" s="10">
        <v>46295</v>
      </c>
      <c r="G380" s="11">
        <v>1400</v>
      </c>
      <c r="H380" s="12">
        <v>1400</v>
      </c>
      <c r="I380" s="13">
        <v>1</v>
      </c>
      <c r="J380" s="12">
        <f t="shared" si="36"/>
        <v>1400</v>
      </c>
      <c r="K380" s="12">
        <f t="shared" si="37"/>
        <v>77</v>
      </c>
      <c r="L380" s="12">
        <f t="shared" si="38"/>
        <v>182</v>
      </c>
      <c r="M380" s="12">
        <f t="shared" si="39"/>
        <v>1582</v>
      </c>
      <c r="N380" s="12">
        <f t="shared" si="40"/>
        <v>1323</v>
      </c>
      <c r="O380" s="12">
        <v>122.28</v>
      </c>
      <c r="P380" s="12">
        <f t="shared" si="42"/>
        <v>199.28</v>
      </c>
      <c r="Q380" s="12">
        <f t="shared" si="41"/>
        <v>1200.72</v>
      </c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</row>
    <row r="381" spans="1:83" s="9" customFormat="1" ht="20.100000000000001" customHeight="1" x14ac:dyDescent="0.3">
      <c r="A381" s="9">
        <v>379</v>
      </c>
      <c r="B381" s="9" t="s">
        <v>825</v>
      </c>
      <c r="C381" s="9" t="s">
        <v>826</v>
      </c>
      <c r="D381" s="9" t="s">
        <v>824</v>
      </c>
      <c r="E381" s="10">
        <v>46113</v>
      </c>
      <c r="F381" s="10">
        <v>46295</v>
      </c>
      <c r="G381" s="11">
        <v>1400</v>
      </c>
      <c r="H381" s="12">
        <v>1400</v>
      </c>
      <c r="I381" s="13">
        <v>1</v>
      </c>
      <c r="J381" s="12">
        <f t="shared" si="36"/>
        <v>1400</v>
      </c>
      <c r="K381" s="12">
        <f t="shared" si="37"/>
        <v>77</v>
      </c>
      <c r="L381" s="12">
        <f t="shared" si="38"/>
        <v>182</v>
      </c>
      <c r="M381" s="12">
        <f t="shared" si="39"/>
        <v>1582</v>
      </c>
      <c r="N381" s="12">
        <f t="shared" si="40"/>
        <v>1323</v>
      </c>
      <c r="O381" s="12">
        <v>122.28</v>
      </c>
      <c r="P381" s="12">
        <f t="shared" si="42"/>
        <v>199.28</v>
      </c>
      <c r="Q381" s="12">
        <f t="shared" si="41"/>
        <v>1200.72</v>
      </c>
    </row>
    <row r="382" spans="1:83" s="9" customFormat="1" ht="20.100000000000001" customHeight="1" x14ac:dyDescent="0.3">
      <c r="A382" s="9">
        <v>380</v>
      </c>
      <c r="B382" s="9" t="s">
        <v>827</v>
      </c>
      <c r="C382" s="9" t="s">
        <v>828</v>
      </c>
      <c r="D382" s="9" t="s">
        <v>824</v>
      </c>
      <c r="E382" s="10">
        <v>46113</v>
      </c>
      <c r="F382" s="10">
        <v>46295</v>
      </c>
      <c r="G382" s="11">
        <v>1400</v>
      </c>
      <c r="H382" s="12">
        <v>1400</v>
      </c>
      <c r="I382" s="13">
        <v>1</v>
      </c>
      <c r="J382" s="12">
        <f t="shared" si="36"/>
        <v>1400</v>
      </c>
      <c r="K382" s="12">
        <f t="shared" si="37"/>
        <v>77</v>
      </c>
      <c r="L382" s="12">
        <f t="shared" si="38"/>
        <v>182</v>
      </c>
      <c r="M382" s="12">
        <f t="shared" si="39"/>
        <v>1582</v>
      </c>
      <c r="N382" s="12">
        <f t="shared" si="40"/>
        <v>1323</v>
      </c>
      <c r="O382" s="12">
        <v>122.28</v>
      </c>
      <c r="P382" s="12">
        <f t="shared" si="42"/>
        <v>199.28</v>
      </c>
      <c r="Q382" s="12">
        <f t="shared" si="41"/>
        <v>1200.72</v>
      </c>
    </row>
    <row r="383" spans="1:83" s="9" customFormat="1" ht="20.100000000000001" customHeight="1" x14ac:dyDescent="0.3">
      <c r="A383" s="9">
        <v>381</v>
      </c>
      <c r="B383" s="9" t="s">
        <v>829</v>
      </c>
      <c r="C383" s="9" t="s">
        <v>830</v>
      </c>
      <c r="D383" s="9" t="s">
        <v>824</v>
      </c>
      <c r="E383" s="10">
        <v>46113</v>
      </c>
      <c r="F383" s="10">
        <v>46295</v>
      </c>
      <c r="G383" s="11">
        <v>1400</v>
      </c>
      <c r="H383" s="12">
        <v>1400</v>
      </c>
      <c r="I383" s="13">
        <v>1</v>
      </c>
      <c r="J383" s="12">
        <f t="shared" si="36"/>
        <v>1400</v>
      </c>
      <c r="K383" s="12">
        <f t="shared" si="37"/>
        <v>77</v>
      </c>
      <c r="L383" s="12">
        <f t="shared" si="38"/>
        <v>182</v>
      </c>
      <c r="M383" s="12">
        <f t="shared" si="39"/>
        <v>1582</v>
      </c>
      <c r="N383" s="12">
        <f t="shared" si="40"/>
        <v>1323</v>
      </c>
      <c r="O383" s="12">
        <v>122.28</v>
      </c>
      <c r="P383" s="12">
        <f t="shared" si="42"/>
        <v>199.28</v>
      </c>
      <c r="Q383" s="12">
        <f t="shared" si="41"/>
        <v>1200.72</v>
      </c>
    </row>
    <row r="384" spans="1:83" s="16" customFormat="1" ht="20.100000000000001" customHeight="1" x14ac:dyDescent="0.3">
      <c r="A384" s="9">
        <v>382</v>
      </c>
      <c r="B384" s="9" t="s">
        <v>831</v>
      </c>
      <c r="C384" s="9" t="s">
        <v>832</v>
      </c>
      <c r="D384" s="9" t="s">
        <v>824</v>
      </c>
      <c r="E384" s="10">
        <v>46113</v>
      </c>
      <c r="F384" s="10">
        <v>46295</v>
      </c>
      <c r="G384" s="11">
        <v>1400</v>
      </c>
      <c r="H384" s="12">
        <v>1400</v>
      </c>
      <c r="I384" s="13">
        <v>1</v>
      </c>
      <c r="J384" s="12">
        <f t="shared" si="36"/>
        <v>1400</v>
      </c>
      <c r="K384" s="12">
        <f t="shared" si="37"/>
        <v>77</v>
      </c>
      <c r="L384" s="12">
        <f t="shared" si="38"/>
        <v>182</v>
      </c>
      <c r="M384" s="12">
        <f t="shared" si="39"/>
        <v>1582</v>
      </c>
      <c r="N384" s="12">
        <f t="shared" si="40"/>
        <v>1323</v>
      </c>
      <c r="O384" s="12">
        <v>122.28</v>
      </c>
      <c r="P384" s="12">
        <f t="shared" si="42"/>
        <v>199.28</v>
      </c>
      <c r="Q384" s="12">
        <f t="shared" si="41"/>
        <v>1200.72</v>
      </c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</row>
    <row r="385" spans="1:83" s="9" customFormat="1" ht="20.100000000000001" customHeight="1" x14ac:dyDescent="0.3">
      <c r="A385" s="9">
        <v>383</v>
      </c>
      <c r="B385" s="9" t="s">
        <v>833</v>
      </c>
      <c r="C385" s="9" t="s">
        <v>834</v>
      </c>
      <c r="D385" s="9" t="s">
        <v>824</v>
      </c>
      <c r="E385" s="10">
        <v>46113</v>
      </c>
      <c r="F385" s="10">
        <v>46295</v>
      </c>
      <c r="G385" s="11">
        <v>1400</v>
      </c>
      <c r="H385" s="12">
        <v>1400</v>
      </c>
      <c r="I385" s="13">
        <v>1</v>
      </c>
      <c r="J385" s="12">
        <f t="shared" si="36"/>
        <v>1400</v>
      </c>
      <c r="K385" s="12">
        <f t="shared" si="37"/>
        <v>77</v>
      </c>
      <c r="L385" s="12">
        <f t="shared" si="38"/>
        <v>182</v>
      </c>
      <c r="M385" s="12">
        <f t="shared" si="39"/>
        <v>1582</v>
      </c>
      <c r="N385" s="12">
        <f t="shared" si="40"/>
        <v>1323</v>
      </c>
      <c r="O385" s="12">
        <v>122.28</v>
      </c>
      <c r="P385" s="12">
        <f t="shared" si="42"/>
        <v>199.28</v>
      </c>
      <c r="Q385" s="12">
        <f t="shared" si="41"/>
        <v>1200.72</v>
      </c>
    </row>
    <row r="386" spans="1:83" s="9" customFormat="1" ht="20.100000000000001" customHeight="1" x14ac:dyDescent="0.3">
      <c r="A386" s="9">
        <v>384</v>
      </c>
      <c r="B386" s="9" t="s">
        <v>835</v>
      </c>
      <c r="C386" s="9" t="s">
        <v>836</v>
      </c>
      <c r="D386" s="9" t="s">
        <v>824</v>
      </c>
      <c r="E386" s="10">
        <v>46113</v>
      </c>
      <c r="F386" s="10">
        <v>46295</v>
      </c>
      <c r="G386" s="11">
        <v>1400</v>
      </c>
      <c r="H386" s="12">
        <v>1400</v>
      </c>
      <c r="I386" s="13">
        <v>1</v>
      </c>
      <c r="J386" s="12">
        <f t="shared" si="36"/>
        <v>1400</v>
      </c>
      <c r="K386" s="12">
        <f t="shared" si="37"/>
        <v>77</v>
      </c>
      <c r="L386" s="12">
        <f t="shared" si="38"/>
        <v>182</v>
      </c>
      <c r="M386" s="12">
        <f t="shared" si="39"/>
        <v>1582</v>
      </c>
      <c r="N386" s="12">
        <f t="shared" si="40"/>
        <v>1323</v>
      </c>
      <c r="O386" s="12">
        <v>122.28</v>
      </c>
      <c r="P386" s="12">
        <f t="shared" si="42"/>
        <v>199.28</v>
      </c>
      <c r="Q386" s="12">
        <f t="shared" si="41"/>
        <v>1200.72</v>
      </c>
    </row>
    <row r="387" spans="1:83" s="9" customFormat="1" ht="20.100000000000001" customHeight="1" x14ac:dyDescent="0.3">
      <c r="A387" s="9">
        <v>385</v>
      </c>
      <c r="B387" s="9" t="s">
        <v>837</v>
      </c>
      <c r="C387" s="9" t="s">
        <v>838</v>
      </c>
      <c r="D387" s="9" t="s">
        <v>824</v>
      </c>
      <c r="E387" s="10">
        <v>46113</v>
      </c>
      <c r="F387" s="10">
        <v>46295</v>
      </c>
      <c r="G387" s="11">
        <v>1400</v>
      </c>
      <c r="H387" s="12">
        <v>1400</v>
      </c>
      <c r="I387" s="13">
        <v>1</v>
      </c>
      <c r="J387" s="12">
        <f t="shared" ref="J387:J450" si="43">H387*I387</f>
        <v>1400</v>
      </c>
      <c r="K387" s="12">
        <f t="shared" ref="K387:K450" si="44">J387*0.055</f>
        <v>77</v>
      </c>
      <c r="L387" s="12">
        <f t="shared" ref="L387:L450" si="45">0.13*J387</f>
        <v>182</v>
      </c>
      <c r="M387" s="12">
        <f t="shared" ref="M387:M450" si="46">J387+L387</f>
        <v>1582</v>
      </c>
      <c r="N387" s="12">
        <f t="shared" ref="N387:N450" si="47">J387-K387</f>
        <v>1323</v>
      </c>
      <c r="O387" s="12">
        <v>122.28</v>
      </c>
      <c r="P387" s="12">
        <f t="shared" si="42"/>
        <v>199.28</v>
      </c>
      <c r="Q387" s="12">
        <f t="shared" ref="Q387:Q450" si="48">J387-P387</f>
        <v>1200.72</v>
      </c>
    </row>
    <row r="388" spans="1:83" s="9" customFormat="1" ht="20.100000000000001" customHeight="1" x14ac:dyDescent="0.3">
      <c r="A388" s="9">
        <v>386</v>
      </c>
      <c r="B388" s="9" t="s">
        <v>839</v>
      </c>
      <c r="C388" s="9" t="s">
        <v>840</v>
      </c>
      <c r="D388" s="9" t="s">
        <v>42</v>
      </c>
      <c r="E388" s="10">
        <v>46113</v>
      </c>
      <c r="F388" s="10">
        <v>46295</v>
      </c>
      <c r="G388" s="11">
        <v>1400</v>
      </c>
      <c r="H388" s="12">
        <v>1400</v>
      </c>
      <c r="I388" s="13">
        <v>1</v>
      </c>
      <c r="J388" s="12">
        <f t="shared" si="43"/>
        <v>1400</v>
      </c>
      <c r="K388" s="12">
        <f t="shared" si="44"/>
        <v>77</v>
      </c>
      <c r="L388" s="12">
        <f t="shared" si="45"/>
        <v>182</v>
      </c>
      <c r="M388" s="12">
        <f t="shared" si="46"/>
        <v>1582</v>
      </c>
      <c r="N388" s="12">
        <f t="shared" si="47"/>
        <v>1323</v>
      </c>
      <c r="O388" s="12">
        <v>122.28</v>
      </c>
      <c r="P388" s="12">
        <f t="shared" si="42"/>
        <v>199.28</v>
      </c>
      <c r="Q388" s="12">
        <f t="shared" si="48"/>
        <v>1200.72</v>
      </c>
    </row>
    <row r="389" spans="1:83" s="9" customFormat="1" ht="20.100000000000001" customHeight="1" x14ac:dyDescent="0.3">
      <c r="A389" s="9">
        <v>387</v>
      </c>
      <c r="B389" s="9" t="s">
        <v>841</v>
      </c>
      <c r="C389" s="9" t="s">
        <v>842</v>
      </c>
      <c r="D389" s="9" t="s">
        <v>42</v>
      </c>
      <c r="E389" s="10">
        <v>46113</v>
      </c>
      <c r="F389" s="10">
        <v>46295</v>
      </c>
      <c r="G389" s="11">
        <v>1400</v>
      </c>
      <c r="H389" s="12">
        <v>1400</v>
      </c>
      <c r="I389" s="13">
        <v>1</v>
      </c>
      <c r="J389" s="12">
        <f t="shared" si="43"/>
        <v>1400</v>
      </c>
      <c r="K389" s="12">
        <f t="shared" si="44"/>
        <v>77</v>
      </c>
      <c r="L389" s="12">
        <f t="shared" si="45"/>
        <v>182</v>
      </c>
      <c r="M389" s="12">
        <f t="shared" si="46"/>
        <v>1582</v>
      </c>
      <c r="N389" s="12">
        <f t="shared" si="47"/>
        <v>1323</v>
      </c>
      <c r="O389" s="12">
        <v>122.28</v>
      </c>
      <c r="P389" s="12">
        <f t="shared" si="42"/>
        <v>199.28</v>
      </c>
      <c r="Q389" s="12">
        <f t="shared" si="48"/>
        <v>1200.72</v>
      </c>
    </row>
    <row r="390" spans="1:83" s="9" customFormat="1" ht="20.100000000000001" customHeight="1" x14ac:dyDescent="0.3">
      <c r="A390" s="9">
        <v>388</v>
      </c>
      <c r="B390" s="9" t="s">
        <v>843</v>
      </c>
      <c r="C390" s="9" t="s">
        <v>844</v>
      </c>
      <c r="D390" s="9" t="s">
        <v>42</v>
      </c>
      <c r="E390" s="10">
        <v>46113</v>
      </c>
      <c r="F390" s="10">
        <v>46295</v>
      </c>
      <c r="G390" s="11">
        <v>1400</v>
      </c>
      <c r="H390" s="12">
        <v>1400</v>
      </c>
      <c r="I390" s="13">
        <v>1</v>
      </c>
      <c r="J390" s="12">
        <f t="shared" si="43"/>
        <v>1400</v>
      </c>
      <c r="K390" s="12">
        <f t="shared" si="44"/>
        <v>77</v>
      </c>
      <c r="L390" s="12">
        <f t="shared" si="45"/>
        <v>182</v>
      </c>
      <c r="M390" s="12">
        <f t="shared" si="46"/>
        <v>1582</v>
      </c>
      <c r="N390" s="12">
        <f t="shared" si="47"/>
        <v>1323</v>
      </c>
      <c r="O390" s="12">
        <v>122.28</v>
      </c>
      <c r="P390" s="12">
        <f t="shared" si="42"/>
        <v>199.28</v>
      </c>
      <c r="Q390" s="12">
        <f t="shared" si="48"/>
        <v>1200.72</v>
      </c>
    </row>
    <row r="391" spans="1:83" s="9" customFormat="1" ht="20.100000000000001" customHeight="1" x14ac:dyDescent="0.3">
      <c r="A391" s="9">
        <v>389</v>
      </c>
      <c r="B391" s="9" t="s">
        <v>845</v>
      </c>
      <c r="C391" s="9" t="s">
        <v>846</v>
      </c>
      <c r="D391" s="9" t="s">
        <v>23</v>
      </c>
      <c r="E391" s="15">
        <v>46113</v>
      </c>
      <c r="F391" s="15">
        <v>46295</v>
      </c>
      <c r="G391" s="11">
        <v>1400</v>
      </c>
      <c r="H391" s="12">
        <v>1400</v>
      </c>
      <c r="I391" s="13">
        <v>1</v>
      </c>
      <c r="J391" s="12">
        <f t="shared" si="43"/>
        <v>1400</v>
      </c>
      <c r="K391" s="12">
        <f t="shared" si="44"/>
        <v>77</v>
      </c>
      <c r="L391" s="12">
        <f t="shared" si="45"/>
        <v>182</v>
      </c>
      <c r="M391" s="12">
        <f t="shared" si="46"/>
        <v>1582</v>
      </c>
      <c r="N391" s="12">
        <f t="shared" si="47"/>
        <v>1323</v>
      </c>
      <c r="O391" s="12">
        <v>122.28</v>
      </c>
      <c r="P391" s="12">
        <f t="shared" si="42"/>
        <v>199.28</v>
      </c>
      <c r="Q391" s="12">
        <f t="shared" si="48"/>
        <v>1200.72</v>
      </c>
    </row>
    <row r="392" spans="1:83" s="9" customFormat="1" ht="20.100000000000001" customHeight="1" x14ac:dyDescent="0.3">
      <c r="A392" s="9">
        <v>390</v>
      </c>
      <c r="B392" s="9" t="s">
        <v>847</v>
      </c>
      <c r="C392" s="9" t="s">
        <v>848</v>
      </c>
      <c r="D392" s="9" t="s">
        <v>87</v>
      </c>
      <c r="E392" s="10">
        <v>46143</v>
      </c>
      <c r="F392" s="10">
        <v>46325</v>
      </c>
      <c r="G392" s="11">
        <v>1400</v>
      </c>
      <c r="H392" s="12">
        <v>1400</v>
      </c>
      <c r="I392" s="13">
        <v>1</v>
      </c>
      <c r="J392" s="12">
        <f t="shared" si="43"/>
        <v>1400</v>
      </c>
      <c r="K392" s="12">
        <f t="shared" si="44"/>
        <v>77</v>
      </c>
      <c r="L392" s="12">
        <f t="shared" si="45"/>
        <v>182</v>
      </c>
      <c r="M392" s="12">
        <f t="shared" si="46"/>
        <v>1582</v>
      </c>
      <c r="N392" s="12">
        <f t="shared" si="47"/>
        <v>1323</v>
      </c>
      <c r="O392" s="12">
        <v>122.28</v>
      </c>
      <c r="P392" s="12">
        <f t="shared" si="42"/>
        <v>199.28</v>
      </c>
      <c r="Q392" s="12">
        <f t="shared" si="48"/>
        <v>1200.72</v>
      </c>
    </row>
    <row r="393" spans="1:83" s="9" customFormat="1" ht="20.100000000000001" customHeight="1" x14ac:dyDescent="0.3">
      <c r="A393" s="9">
        <v>391</v>
      </c>
      <c r="B393" s="9" t="s">
        <v>849</v>
      </c>
      <c r="C393" s="17" t="s">
        <v>850</v>
      </c>
      <c r="D393" s="9" t="s">
        <v>87</v>
      </c>
      <c r="E393" s="10">
        <v>46143</v>
      </c>
      <c r="F393" s="10">
        <v>46325</v>
      </c>
      <c r="G393" s="11">
        <v>2500</v>
      </c>
      <c r="H393" s="12">
        <v>2500</v>
      </c>
      <c r="I393" s="13">
        <v>1</v>
      </c>
      <c r="J393" s="12">
        <f t="shared" si="43"/>
        <v>2500</v>
      </c>
      <c r="K393" s="12">
        <f t="shared" si="44"/>
        <v>137.5</v>
      </c>
      <c r="L393" s="12">
        <f t="shared" si="45"/>
        <v>325</v>
      </c>
      <c r="M393" s="12">
        <f t="shared" si="46"/>
        <v>2825</v>
      </c>
      <c r="N393" s="12">
        <f t="shared" si="47"/>
        <v>2362.5</v>
      </c>
      <c r="O393" s="12">
        <v>304.19</v>
      </c>
      <c r="P393" s="12">
        <f t="shared" si="42"/>
        <v>441.69</v>
      </c>
      <c r="Q393" s="12">
        <f t="shared" si="48"/>
        <v>2058.31</v>
      </c>
    </row>
    <row r="394" spans="1:83" s="9" customFormat="1" ht="20.100000000000001" customHeight="1" x14ac:dyDescent="0.3">
      <c r="A394" s="9">
        <v>392</v>
      </c>
      <c r="B394" s="9" t="s">
        <v>851</v>
      </c>
      <c r="C394" s="9" t="s">
        <v>852</v>
      </c>
      <c r="D394" s="9" t="s">
        <v>493</v>
      </c>
      <c r="E394" s="10">
        <v>45748</v>
      </c>
      <c r="F394" s="10">
        <v>46295</v>
      </c>
      <c r="G394" s="11">
        <v>1400</v>
      </c>
      <c r="H394" s="12">
        <v>1400</v>
      </c>
      <c r="I394" s="13">
        <v>1</v>
      </c>
      <c r="J394" s="12">
        <f t="shared" si="43"/>
        <v>1400</v>
      </c>
      <c r="K394" s="12">
        <f t="shared" si="44"/>
        <v>77</v>
      </c>
      <c r="L394" s="12">
        <f t="shared" si="45"/>
        <v>182</v>
      </c>
      <c r="M394" s="12">
        <f t="shared" si="46"/>
        <v>1582</v>
      </c>
      <c r="N394" s="12">
        <f t="shared" si="47"/>
        <v>1323</v>
      </c>
      <c r="O394" s="12">
        <v>122.28</v>
      </c>
      <c r="P394" s="12">
        <f t="shared" si="42"/>
        <v>199.28</v>
      </c>
      <c r="Q394" s="12">
        <f t="shared" si="48"/>
        <v>1200.72</v>
      </c>
    </row>
    <row r="395" spans="1:83" s="9" customFormat="1" ht="20.100000000000001" customHeight="1" x14ac:dyDescent="0.3">
      <c r="A395" s="9">
        <v>393</v>
      </c>
      <c r="B395" s="9" t="s">
        <v>853</v>
      </c>
      <c r="C395" s="9" t="s">
        <v>854</v>
      </c>
      <c r="D395" s="9" t="s">
        <v>493</v>
      </c>
      <c r="E395" s="10">
        <v>45748</v>
      </c>
      <c r="F395" s="10">
        <v>46295</v>
      </c>
      <c r="G395" s="11">
        <v>1400</v>
      </c>
      <c r="H395" s="12">
        <v>1400</v>
      </c>
      <c r="I395" s="13">
        <v>1</v>
      </c>
      <c r="J395" s="12">
        <f t="shared" si="43"/>
        <v>1400</v>
      </c>
      <c r="K395" s="12">
        <f t="shared" si="44"/>
        <v>77</v>
      </c>
      <c r="L395" s="12">
        <f t="shared" si="45"/>
        <v>182</v>
      </c>
      <c r="M395" s="12">
        <f t="shared" si="46"/>
        <v>1582</v>
      </c>
      <c r="N395" s="12">
        <f t="shared" si="47"/>
        <v>1323</v>
      </c>
      <c r="O395" s="12">
        <v>122.28</v>
      </c>
      <c r="P395" s="12">
        <f t="shared" si="42"/>
        <v>199.28</v>
      </c>
      <c r="Q395" s="12">
        <f t="shared" si="48"/>
        <v>1200.72</v>
      </c>
    </row>
    <row r="396" spans="1:83" s="9" customFormat="1" ht="20.100000000000001" customHeight="1" x14ac:dyDescent="0.3">
      <c r="A396" s="9">
        <v>394</v>
      </c>
      <c r="B396" s="9" t="s">
        <v>855</v>
      </c>
      <c r="C396" s="9" t="s">
        <v>856</v>
      </c>
      <c r="D396" s="9" t="s">
        <v>192</v>
      </c>
      <c r="E396" s="10">
        <v>45748</v>
      </c>
      <c r="F396" s="10">
        <v>46295</v>
      </c>
      <c r="G396" s="11">
        <v>1400</v>
      </c>
      <c r="H396" s="12">
        <v>1400</v>
      </c>
      <c r="I396" s="13">
        <v>1</v>
      </c>
      <c r="J396" s="12">
        <f t="shared" si="43"/>
        <v>1400</v>
      </c>
      <c r="K396" s="12">
        <f t="shared" si="44"/>
        <v>77</v>
      </c>
      <c r="L396" s="12">
        <f t="shared" si="45"/>
        <v>182</v>
      </c>
      <c r="M396" s="12">
        <f t="shared" si="46"/>
        <v>1582</v>
      </c>
      <c r="N396" s="12">
        <f t="shared" si="47"/>
        <v>1323</v>
      </c>
      <c r="O396" s="12">
        <v>122.28</v>
      </c>
      <c r="P396" s="12">
        <f t="shared" si="42"/>
        <v>199.28</v>
      </c>
      <c r="Q396" s="12">
        <f t="shared" si="48"/>
        <v>1200.72</v>
      </c>
    </row>
    <row r="397" spans="1:83" s="9" customFormat="1" ht="20.100000000000001" customHeight="1" x14ac:dyDescent="0.3">
      <c r="A397" s="9">
        <v>395</v>
      </c>
      <c r="B397" s="9" t="s">
        <v>857</v>
      </c>
      <c r="C397" s="17" t="s">
        <v>858</v>
      </c>
      <c r="D397" s="9" t="s">
        <v>124</v>
      </c>
      <c r="E397" s="15">
        <v>46113</v>
      </c>
      <c r="F397" s="15">
        <v>46295</v>
      </c>
      <c r="G397" s="11">
        <v>1400</v>
      </c>
      <c r="H397" s="12">
        <v>1400</v>
      </c>
      <c r="I397" s="13">
        <v>1</v>
      </c>
      <c r="J397" s="12">
        <f t="shared" si="43"/>
        <v>1400</v>
      </c>
      <c r="K397" s="12">
        <f t="shared" si="44"/>
        <v>77</v>
      </c>
      <c r="L397" s="12">
        <f t="shared" si="45"/>
        <v>182</v>
      </c>
      <c r="M397" s="12">
        <f t="shared" si="46"/>
        <v>1582</v>
      </c>
      <c r="N397" s="12">
        <f t="shared" si="47"/>
        <v>1323</v>
      </c>
      <c r="O397" s="12">
        <v>122.28</v>
      </c>
      <c r="P397" s="12">
        <f t="shared" si="42"/>
        <v>199.28</v>
      </c>
      <c r="Q397" s="12">
        <f t="shared" si="48"/>
        <v>1200.72</v>
      </c>
    </row>
    <row r="398" spans="1:83" s="19" customFormat="1" ht="20.100000000000001" customHeight="1" x14ac:dyDescent="0.3">
      <c r="A398" s="9">
        <v>396</v>
      </c>
      <c r="B398" s="9" t="s">
        <v>859</v>
      </c>
      <c r="C398" s="9" t="s">
        <v>860</v>
      </c>
      <c r="D398" s="9" t="s">
        <v>124</v>
      </c>
      <c r="E398" s="10">
        <v>46143</v>
      </c>
      <c r="F398" s="10">
        <v>46325</v>
      </c>
      <c r="G398" s="11">
        <v>1400</v>
      </c>
      <c r="H398" s="12">
        <v>1400</v>
      </c>
      <c r="I398" s="13">
        <v>1</v>
      </c>
      <c r="J398" s="12">
        <f t="shared" si="43"/>
        <v>1400</v>
      </c>
      <c r="K398" s="12">
        <f t="shared" si="44"/>
        <v>77</v>
      </c>
      <c r="L398" s="12">
        <f t="shared" si="45"/>
        <v>182</v>
      </c>
      <c r="M398" s="12">
        <f t="shared" si="46"/>
        <v>1582</v>
      </c>
      <c r="N398" s="12">
        <f t="shared" si="47"/>
        <v>1323</v>
      </c>
      <c r="O398" s="12">
        <v>122.28</v>
      </c>
      <c r="P398" s="12">
        <f t="shared" si="42"/>
        <v>199.28</v>
      </c>
      <c r="Q398" s="12">
        <f t="shared" si="48"/>
        <v>1200.72</v>
      </c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</row>
    <row r="399" spans="1:83" s="19" customFormat="1" ht="20.100000000000001" customHeight="1" x14ac:dyDescent="0.3">
      <c r="A399" s="9">
        <v>397</v>
      </c>
      <c r="B399" s="9" t="s">
        <v>861</v>
      </c>
      <c r="C399" s="9" t="s">
        <v>862</v>
      </c>
      <c r="D399" s="9" t="s">
        <v>353</v>
      </c>
      <c r="E399" s="10">
        <v>46113</v>
      </c>
      <c r="F399" s="10">
        <v>46295</v>
      </c>
      <c r="G399" s="11">
        <v>1400</v>
      </c>
      <c r="H399" s="12">
        <v>1400</v>
      </c>
      <c r="I399" s="13">
        <v>1</v>
      </c>
      <c r="J399" s="12">
        <f t="shared" si="43"/>
        <v>1400</v>
      </c>
      <c r="K399" s="12">
        <f t="shared" si="44"/>
        <v>77</v>
      </c>
      <c r="L399" s="12">
        <f t="shared" si="45"/>
        <v>182</v>
      </c>
      <c r="M399" s="12">
        <f t="shared" si="46"/>
        <v>1582</v>
      </c>
      <c r="N399" s="12">
        <f t="shared" si="47"/>
        <v>1323</v>
      </c>
      <c r="O399" s="12">
        <v>122.28</v>
      </c>
      <c r="P399" s="12">
        <f t="shared" si="42"/>
        <v>199.28</v>
      </c>
      <c r="Q399" s="12">
        <f t="shared" si="48"/>
        <v>1200.72</v>
      </c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</row>
    <row r="400" spans="1:83" s="9" customFormat="1" ht="20.100000000000001" customHeight="1" x14ac:dyDescent="0.3">
      <c r="A400" s="9">
        <v>398</v>
      </c>
      <c r="B400" s="9" t="s">
        <v>863</v>
      </c>
      <c r="C400" s="9" t="s">
        <v>864</v>
      </c>
      <c r="D400" s="9" t="s">
        <v>353</v>
      </c>
      <c r="E400" s="10">
        <v>46143</v>
      </c>
      <c r="F400" s="10">
        <v>46325</v>
      </c>
      <c r="G400" s="11">
        <v>1400</v>
      </c>
      <c r="H400" s="12">
        <v>1400</v>
      </c>
      <c r="I400" s="13">
        <v>1</v>
      </c>
      <c r="J400" s="12">
        <f t="shared" si="43"/>
        <v>1400</v>
      </c>
      <c r="K400" s="12">
        <f t="shared" si="44"/>
        <v>77</v>
      </c>
      <c r="L400" s="12">
        <f t="shared" si="45"/>
        <v>182</v>
      </c>
      <c r="M400" s="12">
        <f t="shared" si="46"/>
        <v>1582</v>
      </c>
      <c r="N400" s="12">
        <f t="shared" si="47"/>
        <v>1323</v>
      </c>
      <c r="O400" s="12">
        <v>122.28</v>
      </c>
      <c r="P400" s="12">
        <f t="shared" si="42"/>
        <v>199.28</v>
      </c>
      <c r="Q400" s="12">
        <f t="shared" si="48"/>
        <v>1200.72</v>
      </c>
    </row>
    <row r="401" spans="1:83" s="9" customFormat="1" ht="20.100000000000001" customHeight="1" x14ac:dyDescent="0.3">
      <c r="A401" s="9">
        <v>399</v>
      </c>
      <c r="B401" s="9" t="s">
        <v>865</v>
      </c>
      <c r="C401" s="9" t="s">
        <v>866</v>
      </c>
      <c r="D401" s="9" t="s">
        <v>353</v>
      </c>
      <c r="E401" s="10">
        <v>46113</v>
      </c>
      <c r="F401" s="10">
        <v>46295</v>
      </c>
      <c r="G401" s="11">
        <v>1400</v>
      </c>
      <c r="H401" s="12">
        <v>1400</v>
      </c>
      <c r="I401" s="13">
        <v>1</v>
      </c>
      <c r="J401" s="12">
        <f t="shared" si="43"/>
        <v>1400</v>
      </c>
      <c r="K401" s="12">
        <f t="shared" si="44"/>
        <v>77</v>
      </c>
      <c r="L401" s="12">
        <f t="shared" si="45"/>
        <v>182</v>
      </c>
      <c r="M401" s="12">
        <f t="shared" si="46"/>
        <v>1582</v>
      </c>
      <c r="N401" s="12">
        <f t="shared" si="47"/>
        <v>1323</v>
      </c>
      <c r="O401" s="12">
        <v>122.28</v>
      </c>
      <c r="P401" s="12">
        <f t="shared" si="42"/>
        <v>199.28</v>
      </c>
      <c r="Q401" s="12">
        <f t="shared" si="48"/>
        <v>1200.72</v>
      </c>
    </row>
    <row r="402" spans="1:83" s="9" customFormat="1" ht="20.100000000000001" customHeight="1" x14ac:dyDescent="0.3">
      <c r="A402" s="9">
        <v>400</v>
      </c>
      <c r="B402" s="9" t="s">
        <v>867</v>
      </c>
      <c r="C402" s="9" t="s">
        <v>868</v>
      </c>
      <c r="D402" s="9" t="s">
        <v>310</v>
      </c>
      <c r="E402" s="10">
        <v>46143</v>
      </c>
      <c r="F402" s="10">
        <v>46325</v>
      </c>
      <c r="G402" s="11">
        <v>1400</v>
      </c>
      <c r="H402" s="12">
        <v>1400</v>
      </c>
      <c r="I402" s="13">
        <v>1</v>
      </c>
      <c r="J402" s="12">
        <f t="shared" si="43"/>
        <v>1400</v>
      </c>
      <c r="K402" s="12">
        <f t="shared" si="44"/>
        <v>77</v>
      </c>
      <c r="L402" s="12">
        <f t="shared" si="45"/>
        <v>182</v>
      </c>
      <c r="M402" s="12">
        <f t="shared" si="46"/>
        <v>1582</v>
      </c>
      <c r="N402" s="12">
        <f t="shared" si="47"/>
        <v>1323</v>
      </c>
      <c r="O402" s="12">
        <v>122.28</v>
      </c>
      <c r="P402" s="12">
        <f t="shared" si="42"/>
        <v>199.28</v>
      </c>
      <c r="Q402" s="12">
        <f t="shared" si="48"/>
        <v>1200.72</v>
      </c>
    </row>
    <row r="403" spans="1:83" s="9" customFormat="1" ht="20.100000000000001" customHeight="1" x14ac:dyDescent="0.3">
      <c r="A403" s="9">
        <v>401</v>
      </c>
      <c r="B403" s="9" t="s">
        <v>869</v>
      </c>
      <c r="C403" s="9" t="s">
        <v>870</v>
      </c>
      <c r="D403" s="9" t="s">
        <v>310</v>
      </c>
      <c r="E403" s="10">
        <v>46143</v>
      </c>
      <c r="F403" s="10">
        <v>46325</v>
      </c>
      <c r="G403" s="11">
        <v>1400</v>
      </c>
      <c r="H403" s="12">
        <v>1400</v>
      </c>
      <c r="I403" s="13">
        <v>1</v>
      </c>
      <c r="J403" s="12">
        <f t="shared" si="43"/>
        <v>1400</v>
      </c>
      <c r="K403" s="12">
        <f t="shared" si="44"/>
        <v>77</v>
      </c>
      <c r="L403" s="12">
        <f t="shared" si="45"/>
        <v>182</v>
      </c>
      <c r="M403" s="12">
        <f t="shared" si="46"/>
        <v>1582</v>
      </c>
      <c r="N403" s="12">
        <f t="shared" si="47"/>
        <v>1323</v>
      </c>
      <c r="O403" s="12">
        <v>122.28</v>
      </c>
      <c r="P403" s="12">
        <f t="shared" si="42"/>
        <v>199.28</v>
      </c>
      <c r="Q403" s="12">
        <f t="shared" si="48"/>
        <v>1200.72</v>
      </c>
    </row>
    <row r="404" spans="1:83" s="9" customFormat="1" ht="20.45" customHeight="1" x14ac:dyDescent="0.3">
      <c r="A404" s="9">
        <v>402</v>
      </c>
      <c r="B404" s="9" t="s">
        <v>871</v>
      </c>
      <c r="C404" s="9" t="s">
        <v>872</v>
      </c>
      <c r="D404" s="9" t="s">
        <v>310</v>
      </c>
      <c r="E404" s="10">
        <v>46143</v>
      </c>
      <c r="F404" s="10">
        <v>46325</v>
      </c>
      <c r="G404" s="11">
        <v>1400</v>
      </c>
      <c r="H404" s="12">
        <v>1400</v>
      </c>
      <c r="I404" s="13">
        <v>1</v>
      </c>
      <c r="J404" s="12">
        <f t="shared" si="43"/>
        <v>1400</v>
      </c>
      <c r="K404" s="12">
        <f t="shared" si="44"/>
        <v>77</v>
      </c>
      <c r="L404" s="12">
        <f t="shared" si="45"/>
        <v>182</v>
      </c>
      <c r="M404" s="12">
        <f t="shared" si="46"/>
        <v>1582</v>
      </c>
      <c r="N404" s="12">
        <f t="shared" si="47"/>
        <v>1323</v>
      </c>
      <c r="O404" s="12">
        <v>122.28</v>
      </c>
      <c r="P404" s="12">
        <f t="shared" si="42"/>
        <v>199.28</v>
      </c>
      <c r="Q404" s="12">
        <f t="shared" si="48"/>
        <v>1200.72</v>
      </c>
    </row>
    <row r="405" spans="1:83" s="9" customFormat="1" ht="20.100000000000001" customHeight="1" x14ac:dyDescent="0.3">
      <c r="A405" s="9">
        <v>403</v>
      </c>
      <c r="B405" s="9" t="s">
        <v>873</v>
      </c>
      <c r="C405" s="9" t="s">
        <v>874</v>
      </c>
      <c r="D405" s="9" t="s">
        <v>483</v>
      </c>
      <c r="E405" s="10">
        <v>46143</v>
      </c>
      <c r="F405" s="10">
        <v>46325</v>
      </c>
      <c r="G405" s="11">
        <v>1400</v>
      </c>
      <c r="H405" s="12">
        <v>1400</v>
      </c>
      <c r="I405" s="13">
        <v>1</v>
      </c>
      <c r="J405" s="12">
        <f t="shared" si="43"/>
        <v>1400</v>
      </c>
      <c r="K405" s="12">
        <f t="shared" si="44"/>
        <v>77</v>
      </c>
      <c r="L405" s="12">
        <f t="shared" si="45"/>
        <v>182</v>
      </c>
      <c r="M405" s="12">
        <f t="shared" si="46"/>
        <v>1582</v>
      </c>
      <c r="N405" s="12">
        <f t="shared" si="47"/>
        <v>1323</v>
      </c>
      <c r="O405" s="12">
        <v>122.28</v>
      </c>
      <c r="P405" s="12">
        <f t="shared" si="42"/>
        <v>199.28</v>
      </c>
      <c r="Q405" s="12">
        <f t="shared" si="48"/>
        <v>1200.72</v>
      </c>
    </row>
    <row r="406" spans="1:83" s="9" customFormat="1" ht="20.100000000000001" customHeight="1" x14ac:dyDescent="0.3">
      <c r="A406" s="9">
        <v>404</v>
      </c>
      <c r="B406" s="9" t="s">
        <v>875</v>
      </c>
      <c r="C406" s="9" t="s">
        <v>876</v>
      </c>
      <c r="D406" s="9" t="s">
        <v>23</v>
      </c>
      <c r="E406" s="10">
        <v>46113</v>
      </c>
      <c r="F406" s="10">
        <v>46295</v>
      </c>
      <c r="G406" s="11">
        <v>1400</v>
      </c>
      <c r="H406" s="12">
        <v>1400</v>
      </c>
      <c r="I406" s="13">
        <v>1</v>
      </c>
      <c r="J406" s="12">
        <f t="shared" si="43"/>
        <v>1400</v>
      </c>
      <c r="K406" s="12">
        <f t="shared" si="44"/>
        <v>77</v>
      </c>
      <c r="L406" s="12">
        <f t="shared" si="45"/>
        <v>182</v>
      </c>
      <c r="M406" s="12">
        <f t="shared" si="46"/>
        <v>1582</v>
      </c>
      <c r="N406" s="12">
        <f t="shared" si="47"/>
        <v>1323</v>
      </c>
      <c r="O406" s="12">
        <v>122.28</v>
      </c>
      <c r="P406" s="12">
        <f t="shared" si="42"/>
        <v>199.28</v>
      </c>
      <c r="Q406" s="12">
        <f t="shared" si="48"/>
        <v>1200.72</v>
      </c>
    </row>
    <row r="407" spans="1:83" s="9" customFormat="1" ht="20.100000000000001" customHeight="1" x14ac:dyDescent="0.3">
      <c r="A407" s="9">
        <v>405</v>
      </c>
      <c r="B407" s="9" t="s">
        <v>877</v>
      </c>
      <c r="C407" s="9" t="s">
        <v>878</v>
      </c>
      <c r="D407" s="9" t="s">
        <v>23</v>
      </c>
      <c r="E407" s="10">
        <v>46113</v>
      </c>
      <c r="F407" s="10">
        <v>46295</v>
      </c>
      <c r="G407" s="11">
        <v>1400</v>
      </c>
      <c r="H407" s="12">
        <v>1400</v>
      </c>
      <c r="I407" s="13">
        <v>1</v>
      </c>
      <c r="J407" s="12">
        <f t="shared" si="43"/>
        <v>1400</v>
      </c>
      <c r="K407" s="12">
        <f t="shared" si="44"/>
        <v>77</v>
      </c>
      <c r="L407" s="12">
        <f t="shared" si="45"/>
        <v>182</v>
      </c>
      <c r="M407" s="12">
        <f t="shared" si="46"/>
        <v>1582</v>
      </c>
      <c r="N407" s="12">
        <f t="shared" si="47"/>
        <v>1323</v>
      </c>
      <c r="O407" s="12">
        <v>122.28</v>
      </c>
      <c r="P407" s="12">
        <f t="shared" si="42"/>
        <v>199.28</v>
      </c>
      <c r="Q407" s="12">
        <f t="shared" si="48"/>
        <v>1200.72</v>
      </c>
    </row>
    <row r="408" spans="1:83" s="9" customFormat="1" ht="20.100000000000001" customHeight="1" x14ac:dyDescent="0.3">
      <c r="A408" s="9">
        <v>406</v>
      </c>
      <c r="B408" s="9" t="s">
        <v>879</v>
      </c>
      <c r="C408" s="9" t="s">
        <v>880</v>
      </c>
      <c r="D408" s="9" t="s">
        <v>23</v>
      </c>
      <c r="E408" s="10">
        <v>46113</v>
      </c>
      <c r="F408" s="10">
        <v>46295</v>
      </c>
      <c r="G408" s="11">
        <v>1400</v>
      </c>
      <c r="H408" s="12">
        <v>1400</v>
      </c>
      <c r="I408" s="13">
        <v>1</v>
      </c>
      <c r="J408" s="12">
        <f t="shared" si="43"/>
        <v>1400</v>
      </c>
      <c r="K408" s="12">
        <f t="shared" si="44"/>
        <v>77</v>
      </c>
      <c r="L408" s="12">
        <f t="shared" si="45"/>
        <v>182</v>
      </c>
      <c r="M408" s="12">
        <f t="shared" si="46"/>
        <v>1582</v>
      </c>
      <c r="N408" s="12">
        <f t="shared" si="47"/>
        <v>1323</v>
      </c>
      <c r="O408" s="12">
        <v>122.28</v>
      </c>
      <c r="P408" s="12">
        <f t="shared" ref="P408:P470" si="49">K408+O408</f>
        <v>199.28</v>
      </c>
      <c r="Q408" s="12">
        <f t="shared" si="48"/>
        <v>1200.72</v>
      </c>
    </row>
    <row r="409" spans="1:83" s="9" customFormat="1" ht="20.100000000000001" customHeight="1" x14ac:dyDescent="0.3">
      <c r="A409" s="9">
        <v>407</v>
      </c>
      <c r="B409" s="9" t="s">
        <v>881</v>
      </c>
      <c r="C409" s="9" t="s">
        <v>882</v>
      </c>
      <c r="D409" s="9" t="s">
        <v>23</v>
      </c>
      <c r="E409" s="10">
        <v>46143</v>
      </c>
      <c r="F409" s="10">
        <v>46325</v>
      </c>
      <c r="G409" s="11">
        <v>1400</v>
      </c>
      <c r="H409" s="12">
        <v>1400</v>
      </c>
      <c r="I409" s="13">
        <v>1</v>
      </c>
      <c r="J409" s="12">
        <f t="shared" si="43"/>
        <v>1400</v>
      </c>
      <c r="K409" s="12">
        <f t="shared" si="44"/>
        <v>77</v>
      </c>
      <c r="L409" s="12">
        <f t="shared" si="45"/>
        <v>182</v>
      </c>
      <c r="M409" s="12">
        <f t="shared" si="46"/>
        <v>1582</v>
      </c>
      <c r="N409" s="12">
        <f t="shared" si="47"/>
        <v>1323</v>
      </c>
      <c r="O409" s="12">
        <v>122.28</v>
      </c>
      <c r="P409" s="12">
        <f t="shared" si="49"/>
        <v>199.28</v>
      </c>
      <c r="Q409" s="12">
        <f t="shared" si="48"/>
        <v>1200.72</v>
      </c>
    </row>
    <row r="410" spans="1:83" s="9" customFormat="1" ht="20.100000000000001" customHeight="1" x14ac:dyDescent="0.3">
      <c r="A410" s="9">
        <v>408</v>
      </c>
      <c r="B410" s="9" t="s">
        <v>883</v>
      </c>
      <c r="C410" s="9" t="s">
        <v>884</v>
      </c>
      <c r="D410" s="9" t="s">
        <v>23</v>
      </c>
      <c r="E410" s="10">
        <v>46143</v>
      </c>
      <c r="F410" s="10">
        <v>46325</v>
      </c>
      <c r="G410" s="11">
        <v>1400</v>
      </c>
      <c r="H410" s="12">
        <v>1400</v>
      </c>
      <c r="I410" s="13">
        <v>1</v>
      </c>
      <c r="J410" s="12">
        <f t="shared" si="43"/>
        <v>1400</v>
      </c>
      <c r="K410" s="12">
        <f t="shared" si="44"/>
        <v>77</v>
      </c>
      <c r="L410" s="12">
        <f t="shared" si="45"/>
        <v>182</v>
      </c>
      <c r="M410" s="12">
        <f t="shared" si="46"/>
        <v>1582</v>
      </c>
      <c r="N410" s="12">
        <f t="shared" si="47"/>
        <v>1323</v>
      </c>
      <c r="O410" s="12">
        <v>122.28</v>
      </c>
      <c r="P410" s="12">
        <f t="shared" si="49"/>
        <v>199.28</v>
      </c>
      <c r="Q410" s="12">
        <f t="shared" si="48"/>
        <v>1200.72</v>
      </c>
    </row>
    <row r="411" spans="1:83" s="9" customFormat="1" ht="20.100000000000001" customHeight="1" x14ac:dyDescent="0.3">
      <c r="A411" s="9">
        <v>409</v>
      </c>
      <c r="B411" s="9" t="s">
        <v>885</v>
      </c>
      <c r="C411" s="9" t="s">
        <v>886</v>
      </c>
      <c r="D411" s="9" t="s">
        <v>23</v>
      </c>
      <c r="E411" s="10">
        <v>46113</v>
      </c>
      <c r="F411" s="10">
        <v>46295</v>
      </c>
      <c r="G411" s="11">
        <v>1400</v>
      </c>
      <c r="H411" s="12">
        <v>1400</v>
      </c>
      <c r="I411" s="13">
        <v>1</v>
      </c>
      <c r="J411" s="12">
        <f t="shared" si="43"/>
        <v>1400</v>
      </c>
      <c r="K411" s="12">
        <f t="shared" si="44"/>
        <v>77</v>
      </c>
      <c r="L411" s="12">
        <f t="shared" si="45"/>
        <v>182</v>
      </c>
      <c r="M411" s="12">
        <f t="shared" si="46"/>
        <v>1582</v>
      </c>
      <c r="N411" s="12">
        <f t="shared" si="47"/>
        <v>1323</v>
      </c>
      <c r="O411" s="12">
        <v>122.28</v>
      </c>
      <c r="P411" s="12">
        <f t="shared" si="49"/>
        <v>199.28</v>
      </c>
      <c r="Q411" s="12">
        <f t="shared" si="48"/>
        <v>1200.72</v>
      </c>
    </row>
    <row r="412" spans="1:83" s="9" customFormat="1" ht="20.100000000000001" customHeight="1" x14ac:dyDescent="0.3">
      <c r="A412" s="9">
        <v>410</v>
      </c>
      <c r="B412" s="9" t="s">
        <v>887</v>
      </c>
      <c r="C412" s="9" t="s">
        <v>888</v>
      </c>
      <c r="D412" s="9" t="s">
        <v>23</v>
      </c>
      <c r="E412" s="10">
        <v>46113</v>
      </c>
      <c r="F412" s="10">
        <v>46295</v>
      </c>
      <c r="G412" s="11">
        <v>1400</v>
      </c>
      <c r="H412" s="12">
        <v>1400</v>
      </c>
      <c r="I412" s="13">
        <v>1</v>
      </c>
      <c r="J412" s="12">
        <f t="shared" si="43"/>
        <v>1400</v>
      </c>
      <c r="K412" s="12">
        <f t="shared" si="44"/>
        <v>77</v>
      </c>
      <c r="L412" s="12">
        <f t="shared" si="45"/>
        <v>182</v>
      </c>
      <c r="M412" s="12">
        <f t="shared" si="46"/>
        <v>1582</v>
      </c>
      <c r="N412" s="12">
        <f t="shared" si="47"/>
        <v>1323</v>
      </c>
      <c r="O412" s="12">
        <v>122.28</v>
      </c>
      <c r="P412" s="12">
        <f t="shared" si="49"/>
        <v>199.28</v>
      </c>
      <c r="Q412" s="12">
        <f t="shared" si="48"/>
        <v>1200.72</v>
      </c>
    </row>
    <row r="413" spans="1:83" s="9" customFormat="1" ht="20.100000000000001" customHeight="1" x14ac:dyDescent="0.3">
      <c r="A413" s="9">
        <v>411</v>
      </c>
      <c r="B413" s="9" t="s">
        <v>889</v>
      </c>
      <c r="C413" s="9" t="s">
        <v>890</v>
      </c>
      <c r="D413" s="9" t="s">
        <v>23</v>
      </c>
      <c r="E413" s="10">
        <v>46113</v>
      </c>
      <c r="F413" s="10">
        <v>46295</v>
      </c>
      <c r="G413" s="11">
        <v>1400</v>
      </c>
      <c r="H413" s="12">
        <v>1400</v>
      </c>
      <c r="I413" s="13">
        <v>1</v>
      </c>
      <c r="J413" s="12">
        <f t="shared" si="43"/>
        <v>1400</v>
      </c>
      <c r="K413" s="12">
        <f t="shared" si="44"/>
        <v>77</v>
      </c>
      <c r="L413" s="12">
        <f t="shared" si="45"/>
        <v>182</v>
      </c>
      <c r="M413" s="12">
        <f t="shared" si="46"/>
        <v>1582</v>
      </c>
      <c r="N413" s="12">
        <f t="shared" si="47"/>
        <v>1323</v>
      </c>
      <c r="O413" s="12">
        <v>122.28</v>
      </c>
      <c r="P413" s="12">
        <f t="shared" si="49"/>
        <v>199.28</v>
      </c>
      <c r="Q413" s="12">
        <f t="shared" si="48"/>
        <v>1200.72</v>
      </c>
    </row>
    <row r="414" spans="1:83" s="9" customFormat="1" ht="20.100000000000001" customHeight="1" x14ac:dyDescent="0.3">
      <c r="A414" s="9">
        <v>412</v>
      </c>
      <c r="B414" s="9" t="s">
        <v>891</v>
      </c>
      <c r="C414" s="9" t="s">
        <v>892</v>
      </c>
      <c r="D414" s="9" t="s">
        <v>23</v>
      </c>
      <c r="E414" s="10">
        <v>46113</v>
      </c>
      <c r="F414" s="10">
        <v>46295</v>
      </c>
      <c r="G414" s="11">
        <v>1400</v>
      </c>
      <c r="H414" s="12">
        <v>1400</v>
      </c>
      <c r="I414" s="13">
        <v>1</v>
      </c>
      <c r="J414" s="12">
        <f t="shared" si="43"/>
        <v>1400</v>
      </c>
      <c r="K414" s="12">
        <f t="shared" si="44"/>
        <v>77</v>
      </c>
      <c r="L414" s="12">
        <f t="shared" si="45"/>
        <v>182</v>
      </c>
      <c r="M414" s="12">
        <f t="shared" si="46"/>
        <v>1582</v>
      </c>
      <c r="N414" s="12">
        <f t="shared" si="47"/>
        <v>1323</v>
      </c>
      <c r="O414" s="12">
        <v>122.28</v>
      </c>
      <c r="P414" s="12">
        <f t="shared" si="49"/>
        <v>199.28</v>
      </c>
      <c r="Q414" s="12">
        <f t="shared" si="48"/>
        <v>1200.72</v>
      </c>
    </row>
    <row r="415" spans="1:83" s="9" customFormat="1" ht="20.100000000000001" customHeight="1" x14ac:dyDescent="0.3">
      <c r="A415" s="9">
        <v>413</v>
      </c>
      <c r="B415" s="9" t="s">
        <v>893</v>
      </c>
      <c r="C415" s="9" t="s">
        <v>894</v>
      </c>
      <c r="D415" s="9" t="s">
        <v>181</v>
      </c>
      <c r="E415" s="10">
        <v>46113</v>
      </c>
      <c r="F415" s="10">
        <v>46295</v>
      </c>
      <c r="G415" s="11">
        <v>1400</v>
      </c>
      <c r="H415" s="12">
        <v>1400</v>
      </c>
      <c r="I415" s="13">
        <v>1</v>
      </c>
      <c r="J415" s="12">
        <f t="shared" si="43"/>
        <v>1400</v>
      </c>
      <c r="K415" s="12">
        <f t="shared" si="44"/>
        <v>77</v>
      </c>
      <c r="L415" s="12">
        <f t="shared" si="45"/>
        <v>182</v>
      </c>
      <c r="M415" s="12">
        <f t="shared" si="46"/>
        <v>1582</v>
      </c>
      <c r="N415" s="12">
        <f t="shared" si="47"/>
        <v>1323</v>
      </c>
      <c r="O415" s="12">
        <v>122.28</v>
      </c>
      <c r="P415" s="12">
        <f t="shared" si="49"/>
        <v>199.28</v>
      </c>
      <c r="Q415" s="12">
        <f t="shared" si="48"/>
        <v>1200.72</v>
      </c>
    </row>
    <row r="416" spans="1:83" s="16" customFormat="1" ht="26.45" customHeight="1" x14ac:dyDescent="0.3">
      <c r="A416" s="9">
        <v>414</v>
      </c>
      <c r="B416" s="9" t="s">
        <v>895</v>
      </c>
      <c r="C416" s="9" t="s">
        <v>896</v>
      </c>
      <c r="D416" s="9" t="s">
        <v>181</v>
      </c>
      <c r="E416" s="10">
        <v>46143</v>
      </c>
      <c r="F416" s="10">
        <v>46325</v>
      </c>
      <c r="G416" s="11">
        <v>1400</v>
      </c>
      <c r="H416" s="12">
        <v>1400</v>
      </c>
      <c r="I416" s="13">
        <v>1</v>
      </c>
      <c r="J416" s="12">
        <f t="shared" si="43"/>
        <v>1400</v>
      </c>
      <c r="K416" s="12">
        <f t="shared" si="44"/>
        <v>77</v>
      </c>
      <c r="L416" s="12">
        <f t="shared" si="45"/>
        <v>182</v>
      </c>
      <c r="M416" s="12">
        <f t="shared" si="46"/>
        <v>1582</v>
      </c>
      <c r="N416" s="12">
        <f t="shared" si="47"/>
        <v>1323</v>
      </c>
      <c r="O416" s="12">
        <v>122.28</v>
      </c>
      <c r="P416" s="12">
        <f t="shared" si="49"/>
        <v>199.28</v>
      </c>
      <c r="Q416" s="12">
        <f t="shared" si="48"/>
        <v>1200.72</v>
      </c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</row>
    <row r="417" spans="1:83" s="9" customFormat="1" ht="20.100000000000001" customHeight="1" x14ac:dyDescent="0.3">
      <c r="A417" s="9">
        <v>415</v>
      </c>
      <c r="B417" s="9" t="s">
        <v>897</v>
      </c>
      <c r="C417" s="9" t="s">
        <v>898</v>
      </c>
      <c r="D417" s="9" t="s">
        <v>181</v>
      </c>
      <c r="E417" s="10">
        <v>46143</v>
      </c>
      <c r="F417" s="10">
        <v>46325</v>
      </c>
      <c r="G417" s="11">
        <v>1400</v>
      </c>
      <c r="H417" s="12">
        <v>1400</v>
      </c>
      <c r="I417" s="13">
        <v>1</v>
      </c>
      <c r="J417" s="12">
        <f t="shared" si="43"/>
        <v>1400</v>
      </c>
      <c r="K417" s="12">
        <f t="shared" si="44"/>
        <v>77</v>
      </c>
      <c r="L417" s="12">
        <f t="shared" si="45"/>
        <v>182</v>
      </c>
      <c r="M417" s="12">
        <f t="shared" si="46"/>
        <v>1582</v>
      </c>
      <c r="N417" s="12">
        <f t="shared" si="47"/>
        <v>1323</v>
      </c>
      <c r="O417" s="12">
        <v>122.28</v>
      </c>
      <c r="P417" s="12">
        <f t="shared" si="49"/>
        <v>199.28</v>
      </c>
      <c r="Q417" s="12">
        <f t="shared" si="48"/>
        <v>1200.72</v>
      </c>
    </row>
    <row r="418" spans="1:83" s="9" customFormat="1" ht="20.100000000000001" customHeight="1" x14ac:dyDescent="0.3">
      <c r="A418" s="9">
        <v>416</v>
      </c>
      <c r="B418" s="9" t="s">
        <v>899</v>
      </c>
      <c r="C418" s="9" t="s">
        <v>900</v>
      </c>
      <c r="D418" s="9" t="s">
        <v>181</v>
      </c>
      <c r="E418" s="10">
        <v>46143</v>
      </c>
      <c r="F418" s="10">
        <v>46325</v>
      </c>
      <c r="G418" s="11">
        <v>1400</v>
      </c>
      <c r="H418" s="12">
        <v>1400</v>
      </c>
      <c r="I418" s="13">
        <v>1</v>
      </c>
      <c r="J418" s="12">
        <f t="shared" si="43"/>
        <v>1400</v>
      </c>
      <c r="K418" s="12">
        <f t="shared" si="44"/>
        <v>77</v>
      </c>
      <c r="L418" s="12">
        <f t="shared" si="45"/>
        <v>182</v>
      </c>
      <c r="M418" s="12">
        <f t="shared" si="46"/>
        <v>1582</v>
      </c>
      <c r="N418" s="12">
        <f t="shared" si="47"/>
        <v>1323</v>
      </c>
      <c r="O418" s="12">
        <v>122.28</v>
      </c>
      <c r="P418" s="12">
        <f t="shared" si="49"/>
        <v>199.28</v>
      </c>
      <c r="Q418" s="12">
        <f t="shared" si="48"/>
        <v>1200.72</v>
      </c>
    </row>
    <row r="419" spans="1:83" s="16" customFormat="1" ht="20.100000000000001" customHeight="1" x14ac:dyDescent="0.3">
      <c r="A419" s="9">
        <v>417</v>
      </c>
      <c r="B419" s="9" t="s">
        <v>901</v>
      </c>
      <c r="C419" s="9" t="s">
        <v>902</v>
      </c>
      <c r="D419" s="9" t="s">
        <v>496</v>
      </c>
      <c r="E419" s="10">
        <v>46143</v>
      </c>
      <c r="F419" s="10">
        <v>46325</v>
      </c>
      <c r="G419" s="11">
        <v>1400</v>
      </c>
      <c r="H419" s="12">
        <v>1400</v>
      </c>
      <c r="I419" s="13">
        <v>1</v>
      </c>
      <c r="J419" s="12">
        <f t="shared" si="43"/>
        <v>1400</v>
      </c>
      <c r="K419" s="12">
        <f t="shared" si="44"/>
        <v>77</v>
      </c>
      <c r="L419" s="12">
        <f t="shared" si="45"/>
        <v>182</v>
      </c>
      <c r="M419" s="12">
        <f t="shared" si="46"/>
        <v>1582</v>
      </c>
      <c r="N419" s="12">
        <f t="shared" si="47"/>
        <v>1323</v>
      </c>
      <c r="O419" s="12">
        <v>122.28</v>
      </c>
      <c r="P419" s="12">
        <f t="shared" si="49"/>
        <v>199.28</v>
      </c>
      <c r="Q419" s="12">
        <f t="shared" si="48"/>
        <v>1200.72</v>
      </c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</row>
    <row r="420" spans="1:83" s="9" customFormat="1" ht="20.100000000000001" customHeight="1" x14ac:dyDescent="0.3">
      <c r="A420" s="9">
        <v>418</v>
      </c>
      <c r="B420" s="9" t="s">
        <v>903</v>
      </c>
      <c r="C420" s="9" t="s">
        <v>904</v>
      </c>
      <c r="D420" s="9" t="s">
        <v>905</v>
      </c>
      <c r="E420" s="15">
        <v>46143</v>
      </c>
      <c r="F420" s="15">
        <v>46325</v>
      </c>
      <c r="G420" s="11">
        <v>1400</v>
      </c>
      <c r="H420" s="12">
        <v>1400</v>
      </c>
      <c r="I420" s="13">
        <v>1</v>
      </c>
      <c r="J420" s="12">
        <f t="shared" si="43"/>
        <v>1400</v>
      </c>
      <c r="K420" s="12">
        <f t="shared" si="44"/>
        <v>77</v>
      </c>
      <c r="L420" s="12">
        <f t="shared" si="45"/>
        <v>182</v>
      </c>
      <c r="M420" s="12">
        <f t="shared" si="46"/>
        <v>1582</v>
      </c>
      <c r="N420" s="12">
        <f t="shared" si="47"/>
        <v>1323</v>
      </c>
      <c r="O420" s="12">
        <v>122.28</v>
      </c>
      <c r="P420" s="12">
        <f t="shared" si="49"/>
        <v>199.28</v>
      </c>
      <c r="Q420" s="12">
        <f t="shared" si="48"/>
        <v>1200.72</v>
      </c>
    </row>
    <row r="421" spans="1:83" s="9" customFormat="1" ht="20.100000000000001" customHeight="1" x14ac:dyDescent="0.3">
      <c r="A421" s="9">
        <v>419</v>
      </c>
      <c r="B421" s="9" t="s">
        <v>906</v>
      </c>
      <c r="C421" s="9" t="s">
        <v>907</v>
      </c>
      <c r="D421" s="9" t="s">
        <v>905</v>
      </c>
      <c r="E421" s="15">
        <v>46143</v>
      </c>
      <c r="F421" s="15">
        <v>46325</v>
      </c>
      <c r="G421" s="11">
        <v>1400</v>
      </c>
      <c r="H421" s="12">
        <v>1400</v>
      </c>
      <c r="I421" s="13">
        <v>1</v>
      </c>
      <c r="J421" s="12">
        <f t="shared" si="43"/>
        <v>1400</v>
      </c>
      <c r="K421" s="12">
        <f t="shared" si="44"/>
        <v>77</v>
      </c>
      <c r="L421" s="12">
        <f t="shared" si="45"/>
        <v>182</v>
      </c>
      <c r="M421" s="12">
        <f t="shared" si="46"/>
        <v>1582</v>
      </c>
      <c r="N421" s="12">
        <f t="shared" si="47"/>
        <v>1323</v>
      </c>
      <c r="O421" s="12">
        <v>122.28</v>
      </c>
      <c r="P421" s="12">
        <f t="shared" si="49"/>
        <v>199.28</v>
      </c>
      <c r="Q421" s="12">
        <f t="shared" si="48"/>
        <v>1200.72</v>
      </c>
    </row>
    <row r="422" spans="1:83" s="9" customFormat="1" ht="20.100000000000001" customHeight="1" x14ac:dyDescent="0.3">
      <c r="A422" s="9">
        <v>420</v>
      </c>
      <c r="B422" s="9" t="s">
        <v>908</v>
      </c>
      <c r="C422" s="9" t="s">
        <v>909</v>
      </c>
      <c r="D422" s="9" t="s">
        <v>905</v>
      </c>
      <c r="E422" s="15">
        <v>46143</v>
      </c>
      <c r="F422" s="15">
        <v>46325</v>
      </c>
      <c r="G422" s="11">
        <v>1400</v>
      </c>
      <c r="H422" s="12">
        <v>1400</v>
      </c>
      <c r="I422" s="13">
        <v>1</v>
      </c>
      <c r="J422" s="12">
        <f t="shared" si="43"/>
        <v>1400</v>
      </c>
      <c r="K422" s="12">
        <f t="shared" si="44"/>
        <v>77</v>
      </c>
      <c r="L422" s="12">
        <f t="shared" si="45"/>
        <v>182</v>
      </c>
      <c r="M422" s="12">
        <f t="shared" si="46"/>
        <v>1582</v>
      </c>
      <c r="N422" s="12">
        <f t="shared" si="47"/>
        <v>1323</v>
      </c>
      <c r="O422" s="12">
        <v>122.28</v>
      </c>
      <c r="P422" s="12">
        <f t="shared" si="49"/>
        <v>199.28</v>
      </c>
      <c r="Q422" s="12">
        <f t="shared" si="48"/>
        <v>1200.72</v>
      </c>
    </row>
    <row r="423" spans="1:83" s="9" customFormat="1" ht="20.100000000000001" customHeight="1" x14ac:dyDescent="0.3">
      <c r="A423" s="9">
        <v>421</v>
      </c>
      <c r="B423" s="9" t="s">
        <v>910</v>
      </c>
      <c r="C423" s="9" t="s">
        <v>911</v>
      </c>
      <c r="D423" s="9" t="s">
        <v>905</v>
      </c>
      <c r="E423" s="15">
        <v>46143</v>
      </c>
      <c r="F423" s="15">
        <v>46325</v>
      </c>
      <c r="G423" s="11">
        <v>1400</v>
      </c>
      <c r="H423" s="12">
        <v>1400</v>
      </c>
      <c r="I423" s="13">
        <v>1</v>
      </c>
      <c r="J423" s="12">
        <f t="shared" si="43"/>
        <v>1400</v>
      </c>
      <c r="K423" s="12">
        <f t="shared" si="44"/>
        <v>77</v>
      </c>
      <c r="L423" s="12">
        <f t="shared" si="45"/>
        <v>182</v>
      </c>
      <c r="M423" s="12">
        <f t="shared" si="46"/>
        <v>1582</v>
      </c>
      <c r="N423" s="12">
        <f t="shared" si="47"/>
        <v>1323</v>
      </c>
      <c r="O423" s="12">
        <v>122.28</v>
      </c>
      <c r="P423" s="12">
        <f t="shared" si="49"/>
        <v>199.28</v>
      </c>
      <c r="Q423" s="12">
        <f t="shared" si="48"/>
        <v>1200.72</v>
      </c>
    </row>
    <row r="424" spans="1:83" s="9" customFormat="1" ht="20.100000000000001" customHeight="1" x14ac:dyDescent="0.3">
      <c r="A424" s="9">
        <v>422</v>
      </c>
      <c r="B424" s="9" t="s">
        <v>912</v>
      </c>
      <c r="C424" s="9" t="s">
        <v>913</v>
      </c>
      <c r="D424" s="9" t="s">
        <v>905</v>
      </c>
      <c r="E424" s="15">
        <v>46143</v>
      </c>
      <c r="F424" s="15">
        <v>46325</v>
      </c>
      <c r="G424" s="11">
        <v>1400</v>
      </c>
      <c r="H424" s="12">
        <v>1400</v>
      </c>
      <c r="I424" s="13">
        <v>1</v>
      </c>
      <c r="J424" s="12">
        <f t="shared" si="43"/>
        <v>1400</v>
      </c>
      <c r="K424" s="12">
        <f t="shared" si="44"/>
        <v>77</v>
      </c>
      <c r="L424" s="12">
        <f t="shared" si="45"/>
        <v>182</v>
      </c>
      <c r="M424" s="12">
        <f t="shared" si="46"/>
        <v>1582</v>
      </c>
      <c r="N424" s="12">
        <f t="shared" si="47"/>
        <v>1323</v>
      </c>
      <c r="O424" s="12">
        <v>122.28</v>
      </c>
      <c r="P424" s="12">
        <f t="shared" si="49"/>
        <v>199.28</v>
      </c>
      <c r="Q424" s="12">
        <f t="shared" si="48"/>
        <v>1200.72</v>
      </c>
    </row>
    <row r="425" spans="1:83" s="9" customFormat="1" ht="20.100000000000001" customHeight="1" x14ac:dyDescent="0.3">
      <c r="A425" s="9">
        <v>423</v>
      </c>
      <c r="B425" s="9" t="s">
        <v>914</v>
      </c>
      <c r="C425" s="9" t="s">
        <v>915</v>
      </c>
      <c r="D425" s="9" t="s">
        <v>905</v>
      </c>
      <c r="E425" s="15">
        <v>46143</v>
      </c>
      <c r="F425" s="15">
        <v>46325</v>
      </c>
      <c r="G425" s="11">
        <v>1400</v>
      </c>
      <c r="H425" s="12">
        <v>1400</v>
      </c>
      <c r="I425" s="13">
        <v>1</v>
      </c>
      <c r="J425" s="12">
        <f t="shared" si="43"/>
        <v>1400</v>
      </c>
      <c r="K425" s="12">
        <f t="shared" si="44"/>
        <v>77</v>
      </c>
      <c r="L425" s="12">
        <f t="shared" si="45"/>
        <v>182</v>
      </c>
      <c r="M425" s="12">
        <f t="shared" si="46"/>
        <v>1582</v>
      </c>
      <c r="N425" s="12">
        <f t="shared" si="47"/>
        <v>1323</v>
      </c>
      <c r="O425" s="12">
        <v>122.28</v>
      </c>
      <c r="P425" s="12">
        <f t="shared" si="49"/>
        <v>199.28</v>
      </c>
      <c r="Q425" s="12">
        <f t="shared" si="48"/>
        <v>1200.72</v>
      </c>
    </row>
    <row r="426" spans="1:83" s="9" customFormat="1" ht="20.100000000000001" customHeight="1" x14ac:dyDescent="0.3">
      <c r="A426" s="9">
        <v>424</v>
      </c>
      <c r="B426" s="9" t="s">
        <v>916</v>
      </c>
      <c r="C426" s="9" t="s">
        <v>917</v>
      </c>
      <c r="D426" s="9" t="s">
        <v>905</v>
      </c>
      <c r="E426" s="15">
        <v>46143</v>
      </c>
      <c r="F426" s="15">
        <v>46325</v>
      </c>
      <c r="G426" s="11">
        <v>1400</v>
      </c>
      <c r="H426" s="12">
        <v>1400</v>
      </c>
      <c r="I426" s="13">
        <v>1</v>
      </c>
      <c r="J426" s="12">
        <f t="shared" si="43"/>
        <v>1400</v>
      </c>
      <c r="K426" s="12">
        <f t="shared" si="44"/>
        <v>77</v>
      </c>
      <c r="L426" s="12">
        <f t="shared" si="45"/>
        <v>182</v>
      </c>
      <c r="M426" s="12">
        <f t="shared" si="46"/>
        <v>1582</v>
      </c>
      <c r="N426" s="12">
        <f t="shared" si="47"/>
        <v>1323</v>
      </c>
      <c r="O426" s="12">
        <v>122.28</v>
      </c>
      <c r="P426" s="12">
        <f t="shared" si="49"/>
        <v>199.28</v>
      </c>
      <c r="Q426" s="12">
        <f t="shared" si="48"/>
        <v>1200.72</v>
      </c>
    </row>
    <row r="427" spans="1:83" s="9" customFormat="1" ht="20.100000000000001" customHeight="1" x14ac:dyDescent="0.3">
      <c r="A427" s="9">
        <v>425</v>
      </c>
      <c r="B427" s="9" t="s">
        <v>918</v>
      </c>
      <c r="C427" s="9" t="s">
        <v>919</v>
      </c>
      <c r="D427" s="9" t="s">
        <v>905</v>
      </c>
      <c r="E427" s="15">
        <v>46143</v>
      </c>
      <c r="F427" s="15">
        <v>46325</v>
      </c>
      <c r="G427" s="11">
        <v>1400</v>
      </c>
      <c r="H427" s="12">
        <v>1400</v>
      </c>
      <c r="I427" s="13">
        <v>1</v>
      </c>
      <c r="J427" s="12">
        <f t="shared" si="43"/>
        <v>1400</v>
      </c>
      <c r="K427" s="12">
        <f t="shared" si="44"/>
        <v>77</v>
      </c>
      <c r="L427" s="12">
        <f t="shared" si="45"/>
        <v>182</v>
      </c>
      <c r="M427" s="12">
        <f t="shared" si="46"/>
        <v>1582</v>
      </c>
      <c r="N427" s="12">
        <f t="shared" si="47"/>
        <v>1323</v>
      </c>
      <c r="O427" s="12">
        <v>122.28</v>
      </c>
      <c r="P427" s="12">
        <f t="shared" si="49"/>
        <v>199.28</v>
      </c>
      <c r="Q427" s="12">
        <f t="shared" si="48"/>
        <v>1200.72</v>
      </c>
    </row>
    <row r="428" spans="1:83" s="9" customFormat="1" ht="20.100000000000001" customHeight="1" x14ac:dyDescent="0.3">
      <c r="A428" s="9">
        <v>426</v>
      </c>
      <c r="B428" s="9" t="s">
        <v>920</v>
      </c>
      <c r="C428" s="9" t="s">
        <v>921</v>
      </c>
      <c r="D428" s="9" t="s">
        <v>905</v>
      </c>
      <c r="E428" s="15">
        <v>46143</v>
      </c>
      <c r="F428" s="15">
        <v>46325</v>
      </c>
      <c r="G428" s="11">
        <v>1400</v>
      </c>
      <c r="H428" s="12">
        <v>1400</v>
      </c>
      <c r="I428" s="13">
        <v>1</v>
      </c>
      <c r="J428" s="12">
        <f t="shared" si="43"/>
        <v>1400</v>
      </c>
      <c r="K428" s="12">
        <f t="shared" si="44"/>
        <v>77</v>
      </c>
      <c r="L428" s="12">
        <f t="shared" si="45"/>
        <v>182</v>
      </c>
      <c r="M428" s="12">
        <f t="shared" si="46"/>
        <v>1582</v>
      </c>
      <c r="N428" s="12">
        <f t="shared" si="47"/>
        <v>1323</v>
      </c>
      <c r="O428" s="12">
        <v>122.28</v>
      </c>
      <c r="P428" s="12">
        <f t="shared" si="49"/>
        <v>199.28</v>
      </c>
      <c r="Q428" s="12">
        <f t="shared" si="48"/>
        <v>1200.72</v>
      </c>
    </row>
    <row r="429" spans="1:83" s="9" customFormat="1" ht="20.100000000000001" customHeight="1" x14ac:dyDescent="0.3">
      <c r="A429" s="9">
        <v>427</v>
      </c>
      <c r="B429" s="9" t="s">
        <v>922</v>
      </c>
      <c r="C429" s="9" t="s">
        <v>923</v>
      </c>
      <c r="D429" s="9" t="s">
        <v>905</v>
      </c>
      <c r="E429" s="15">
        <v>46143</v>
      </c>
      <c r="F429" s="15">
        <v>46325</v>
      </c>
      <c r="G429" s="11">
        <v>1400</v>
      </c>
      <c r="H429" s="12">
        <v>1400</v>
      </c>
      <c r="I429" s="13">
        <v>1</v>
      </c>
      <c r="J429" s="12">
        <f t="shared" si="43"/>
        <v>1400</v>
      </c>
      <c r="K429" s="12">
        <f t="shared" si="44"/>
        <v>77</v>
      </c>
      <c r="L429" s="12">
        <f t="shared" si="45"/>
        <v>182</v>
      </c>
      <c r="M429" s="12">
        <f t="shared" si="46"/>
        <v>1582</v>
      </c>
      <c r="N429" s="12">
        <f t="shared" si="47"/>
        <v>1323</v>
      </c>
      <c r="O429" s="12">
        <v>122.28</v>
      </c>
      <c r="P429" s="12">
        <f t="shared" si="49"/>
        <v>199.28</v>
      </c>
      <c r="Q429" s="12">
        <f t="shared" si="48"/>
        <v>1200.72</v>
      </c>
    </row>
    <row r="430" spans="1:83" s="9" customFormat="1" ht="20.100000000000001" customHeight="1" x14ac:dyDescent="0.3">
      <c r="A430" s="9">
        <v>428</v>
      </c>
      <c r="B430" s="9" t="s">
        <v>924</v>
      </c>
      <c r="C430" s="9" t="s">
        <v>925</v>
      </c>
      <c r="D430" s="9" t="s">
        <v>905</v>
      </c>
      <c r="E430" s="15">
        <v>46143</v>
      </c>
      <c r="F430" s="15">
        <v>46325</v>
      </c>
      <c r="G430" s="11">
        <v>1400</v>
      </c>
      <c r="H430" s="12">
        <v>1400</v>
      </c>
      <c r="I430" s="13">
        <v>1</v>
      </c>
      <c r="J430" s="12">
        <f t="shared" si="43"/>
        <v>1400</v>
      </c>
      <c r="K430" s="12">
        <f t="shared" si="44"/>
        <v>77</v>
      </c>
      <c r="L430" s="12">
        <f t="shared" si="45"/>
        <v>182</v>
      </c>
      <c r="M430" s="12">
        <f t="shared" si="46"/>
        <v>1582</v>
      </c>
      <c r="N430" s="12">
        <f t="shared" si="47"/>
        <v>1323</v>
      </c>
      <c r="O430" s="12">
        <v>122.28</v>
      </c>
      <c r="P430" s="12">
        <f t="shared" si="49"/>
        <v>199.28</v>
      </c>
      <c r="Q430" s="12">
        <f t="shared" si="48"/>
        <v>1200.72</v>
      </c>
    </row>
    <row r="431" spans="1:83" s="9" customFormat="1" ht="20.100000000000001" customHeight="1" x14ac:dyDescent="0.3">
      <c r="A431" s="9">
        <v>429</v>
      </c>
      <c r="B431" s="9" t="s">
        <v>926</v>
      </c>
      <c r="C431" s="9" t="s">
        <v>927</v>
      </c>
      <c r="D431" s="9" t="s">
        <v>905</v>
      </c>
      <c r="E431" s="15">
        <v>46143</v>
      </c>
      <c r="F431" s="15">
        <v>46325</v>
      </c>
      <c r="G431" s="11">
        <v>1400</v>
      </c>
      <c r="H431" s="12">
        <v>1400</v>
      </c>
      <c r="I431" s="13">
        <v>1</v>
      </c>
      <c r="J431" s="12">
        <f t="shared" si="43"/>
        <v>1400</v>
      </c>
      <c r="K431" s="12">
        <f t="shared" si="44"/>
        <v>77</v>
      </c>
      <c r="L431" s="12">
        <f t="shared" si="45"/>
        <v>182</v>
      </c>
      <c r="M431" s="12">
        <f t="shared" si="46"/>
        <v>1582</v>
      </c>
      <c r="N431" s="12">
        <f t="shared" si="47"/>
        <v>1323</v>
      </c>
      <c r="O431" s="12">
        <v>122.28</v>
      </c>
      <c r="P431" s="12">
        <f t="shared" si="49"/>
        <v>199.28</v>
      </c>
      <c r="Q431" s="12">
        <f t="shared" si="48"/>
        <v>1200.72</v>
      </c>
    </row>
    <row r="432" spans="1:83" s="18" customFormat="1" ht="20.100000000000001" customHeight="1" x14ac:dyDescent="0.3">
      <c r="A432" s="9">
        <v>430</v>
      </c>
      <c r="B432" s="9" t="s">
        <v>928</v>
      </c>
      <c r="C432" s="9" t="s">
        <v>929</v>
      </c>
      <c r="D432" s="9" t="s">
        <v>603</v>
      </c>
      <c r="E432" s="10">
        <v>46113</v>
      </c>
      <c r="F432" s="10">
        <v>46295</v>
      </c>
      <c r="G432" s="11">
        <v>1400</v>
      </c>
      <c r="H432" s="12">
        <v>1400</v>
      </c>
      <c r="I432" s="13">
        <v>1</v>
      </c>
      <c r="J432" s="12">
        <f t="shared" si="43"/>
        <v>1400</v>
      </c>
      <c r="K432" s="12">
        <f t="shared" si="44"/>
        <v>77</v>
      </c>
      <c r="L432" s="12">
        <f t="shared" si="45"/>
        <v>182</v>
      </c>
      <c r="M432" s="12">
        <f t="shared" si="46"/>
        <v>1582</v>
      </c>
      <c r="N432" s="12">
        <f t="shared" si="47"/>
        <v>1323</v>
      </c>
      <c r="O432" s="12">
        <v>122.28</v>
      </c>
      <c r="P432" s="12">
        <f t="shared" si="49"/>
        <v>199.28</v>
      </c>
      <c r="Q432" s="12">
        <f t="shared" si="48"/>
        <v>1200.72</v>
      </c>
    </row>
    <row r="433" spans="1:17" s="18" customFormat="1" ht="20.100000000000001" customHeight="1" x14ac:dyDescent="0.3">
      <c r="A433" s="9">
        <v>431</v>
      </c>
      <c r="B433" s="9" t="s">
        <v>930</v>
      </c>
      <c r="C433" s="9" t="s">
        <v>931</v>
      </c>
      <c r="D433" s="9" t="s">
        <v>932</v>
      </c>
      <c r="E433" s="15">
        <v>46143</v>
      </c>
      <c r="F433" s="15">
        <v>46325</v>
      </c>
      <c r="G433" s="11">
        <v>1400</v>
      </c>
      <c r="H433" s="12">
        <v>1400</v>
      </c>
      <c r="I433" s="13">
        <v>1</v>
      </c>
      <c r="J433" s="12">
        <f t="shared" si="43"/>
        <v>1400</v>
      </c>
      <c r="K433" s="12">
        <f t="shared" si="44"/>
        <v>77</v>
      </c>
      <c r="L433" s="12">
        <f t="shared" si="45"/>
        <v>182</v>
      </c>
      <c r="M433" s="12">
        <f t="shared" si="46"/>
        <v>1582</v>
      </c>
      <c r="N433" s="12">
        <f t="shared" si="47"/>
        <v>1323</v>
      </c>
      <c r="O433" s="12">
        <v>122.28</v>
      </c>
      <c r="P433" s="12">
        <f t="shared" si="49"/>
        <v>199.28</v>
      </c>
      <c r="Q433" s="12">
        <f t="shared" si="48"/>
        <v>1200.72</v>
      </c>
    </row>
    <row r="434" spans="1:17" s="18" customFormat="1" ht="20.100000000000001" customHeight="1" x14ac:dyDescent="0.3">
      <c r="A434" s="9">
        <v>432</v>
      </c>
      <c r="B434" s="9" t="s">
        <v>933</v>
      </c>
      <c r="C434" s="9" t="s">
        <v>934</v>
      </c>
      <c r="D434" s="9" t="s">
        <v>932</v>
      </c>
      <c r="E434" s="15">
        <v>46143</v>
      </c>
      <c r="F434" s="15">
        <v>46325</v>
      </c>
      <c r="G434" s="11">
        <v>1400</v>
      </c>
      <c r="H434" s="12">
        <v>1400</v>
      </c>
      <c r="I434" s="13">
        <v>1</v>
      </c>
      <c r="J434" s="12">
        <f t="shared" si="43"/>
        <v>1400</v>
      </c>
      <c r="K434" s="12">
        <f t="shared" si="44"/>
        <v>77</v>
      </c>
      <c r="L434" s="12">
        <f t="shared" si="45"/>
        <v>182</v>
      </c>
      <c r="M434" s="12">
        <f t="shared" si="46"/>
        <v>1582</v>
      </c>
      <c r="N434" s="12">
        <f t="shared" si="47"/>
        <v>1323</v>
      </c>
      <c r="O434" s="12">
        <v>122.28</v>
      </c>
      <c r="P434" s="12">
        <f t="shared" si="49"/>
        <v>199.28</v>
      </c>
      <c r="Q434" s="12">
        <f t="shared" si="48"/>
        <v>1200.72</v>
      </c>
    </row>
    <row r="435" spans="1:17" s="9" customFormat="1" ht="20.100000000000001" customHeight="1" x14ac:dyDescent="0.3">
      <c r="A435" s="9">
        <v>433</v>
      </c>
      <c r="B435" s="9" t="s">
        <v>935</v>
      </c>
      <c r="C435" s="9" t="s">
        <v>936</v>
      </c>
      <c r="D435" s="9" t="s">
        <v>416</v>
      </c>
      <c r="E435" s="15">
        <v>46143</v>
      </c>
      <c r="F435" s="15">
        <v>46325</v>
      </c>
      <c r="G435" s="11">
        <v>1400</v>
      </c>
      <c r="H435" s="12">
        <v>1400</v>
      </c>
      <c r="I435" s="13">
        <v>1</v>
      </c>
      <c r="J435" s="12">
        <f t="shared" si="43"/>
        <v>1400</v>
      </c>
      <c r="K435" s="12">
        <f t="shared" si="44"/>
        <v>77</v>
      </c>
      <c r="L435" s="12">
        <f t="shared" si="45"/>
        <v>182</v>
      </c>
      <c r="M435" s="12">
        <f t="shared" si="46"/>
        <v>1582</v>
      </c>
      <c r="N435" s="12">
        <f t="shared" si="47"/>
        <v>1323</v>
      </c>
      <c r="O435" s="12">
        <v>122.28</v>
      </c>
      <c r="P435" s="12">
        <f t="shared" si="49"/>
        <v>199.28</v>
      </c>
      <c r="Q435" s="12">
        <f t="shared" si="48"/>
        <v>1200.72</v>
      </c>
    </row>
    <row r="436" spans="1:17" s="9" customFormat="1" ht="20.100000000000001" customHeight="1" x14ac:dyDescent="0.3">
      <c r="A436" s="9">
        <v>434</v>
      </c>
      <c r="B436" s="9" t="s">
        <v>937</v>
      </c>
      <c r="C436" s="9" t="s">
        <v>938</v>
      </c>
      <c r="D436" s="9" t="s">
        <v>416</v>
      </c>
      <c r="E436" s="10">
        <v>46113</v>
      </c>
      <c r="F436" s="10">
        <v>46295</v>
      </c>
      <c r="G436" s="11">
        <v>1400</v>
      </c>
      <c r="H436" s="12">
        <v>1400</v>
      </c>
      <c r="I436" s="13">
        <v>1</v>
      </c>
      <c r="J436" s="12">
        <f t="shared" si="43"/>
        <v>1400</v>
      </c>
      <c r="K436" s="12">
        <f t="shared" si="44"/>
        <v>77</v>
      </c>
      <c r="L436" s="12">
        <f t="shared" si="45"/>
        <v>182</v>
      </c>
      <c r="M436" s="12">
        <f t="shared" si="46"/>
        <v>1582</v>
      </c>
      <c r="N436" s="12">
        <f t="shared" si="47"/>
        <v>1323</v>
      </c>
      <c r="O436" s="12">
        <v>122.28</v>
      </c>
      <c r="P436" s="12">
        <f t="shared" si="49"/>
        <v>199.28</v>
      </c>
      <c r="Q436" s="12">
        <f t="shared" si="48"/>
        <v>1200.72</v>
      </c>
    </row>
    <row r="437" spans="1:17" s="18" customFormat="1" ht="20.100000000000001" customHeight="1" x14ac:dyDescent="0.3">
      <c r="A437" s="9">
        <v>435</v>
      </c>
      <c r="B437" s="9" t="s">
        <v>939</v>
      </c>
      <c r="C437" s="9" t="s">
        <v>940</v>
      </c>
      <c r="D437" s="9" t="s">
        <v>416</v>
      </c>
      <c r="E437" s="15">
        <v>46143</v>
      </c>
      <c r="F437" s="15">
        <v>46325</v>
      </c>
      <c r="G437" s="11">
        <v>1400</v>
      </c>
      <c r="H437" s="12">
        <v>1400</v>
      </c>
      <c r="I437" s="13">
        <v>1</v>
      </c>
      <c r="J437" s="12">
        <f t="shared" si="43"/>
        <v>1400</v>
      </c>
      <c r="K437" s="12">
        <f t="shared" si="44"/>
        <v>77</v>
      </c>
      <c r="L437" s="12">
        <f t="shared" si="45"/>
        <v>182</v>
      </c>
      <c r="M437" s="12">
        <f t="shared" si="46"/>
        <v>1582</v>
      </c>
      <c r="N437" s="12">
        <f t="shared" si="47"/>
        <v>1323</v>
      </c>
      <c r="O437" s="12">
        <v>122.28</v>
      </c>
      <c r="P437" s="12">
        <f t="shared" si="49"/>
        <v>199.28</v>
      </c>
      <c r="Q437" s="12">
        <f t="shared" si="48"/>
        <v>1200.72</v>
      </c>
    </row>
    <row r="438" spans="1:17" s="18" customFormat="1" ht="20.100000000000001" customHeight="1" x14ac:dyDescent="0.3">
      <c r="A438" s="9">
        <v>436</v>
      </c>
      <c r="B438" s="9" t="s">
        <v>941</v>
      </c>
      <c r="C438" s="9" t="s">
        <v>942</v>
      </c>
      <c r="D438" s="9" t="s">
        <v>416</v>
      </c>
      <c r="E438" s="10">
        <v>46113</v>
      </c>
      <c r="F438" s="10">
        <v>46295</v>
      </c>
      <c r="G438" s="11">
        <v>1400</v>
      </c>
      <c r="H438" s="12">
        <v>1400</v>
      </c>
      <c r="I438" s="13">
        <v>1</v>
      </c>
      <c r="J438" s="12">
        <f t="shared" si="43"/>
        <v>1400</v>
      </c>
      <c r="K438" s="12">
        <f t="shared" si="44"/>
        <v>77</v>
      </c>
      <c r="L438" s="12">
        <f t="shared" si="45"/>
        <v>182</v>
      </c>
      <c r="M438" s="12">
        <f t="shared" si="46"/>
        <v>1582</v>
      </c>
      <c r="N438" s="12">
        <f t="shared" si="47"/>
        <v>1323</v>
      </c>
      <c r="O438" s="12">
        <v>122.28</v>
      </c>
      <c r="P438" s="12">
        <f t="shared" si="49"/>
        <v>199.28</v>
      </c>
      <c r="Q438" s="12">
        <f t="shared" si="48"/>
        <v>1200.72</v>
      </c>
    </row>
    <row r="439" spans="1:17" s="9" customFormat="1" ht="20.100000000000001" customHeight="1" x14ac:dyDescent="0.3">
      <c r="A439" s="9">
        <v>437</v>
      </c>
      <c r="B439" s="9" t="s">
        <v>943</v>
      </c>
      <c r="C439" s="9" t="s">
        <v>944</v>
      </c>
      <c r="D439" s="9" t="s">
        <v>416</v>
      </c>
      <c r="E439" s="10">
        <v>46113</v>
      </c>
      <c r="F439" s="10">
        <v>46295</v>
      </c>
      <c r="G439" s="11">
        <v>1400</v>
      </c>
      <c r="H439" s="12">
        <v>1400</v>
      </c>
      <c r="I439" s="13">
        <v>1</v>
      </c>
      <c r="J439" s="12">
        <f t="shared" si="43"/>
        <v>1400</v>
      </c>
      <c r="K439" s="12">
        <f t="shared" si="44"/>
        <v>77</v>
      </c>
      <c r="L439" s="12">
        <f t="shared" si="45"/>
        <v>182</v>
      </c>
      <c r="M439" s="12">
        <f t="shared" si="46"/>
        <v>1582</v>
      </c>
      <c r="N439" s="12">
        <f t="shared" si="47"/>
        <v>1323</v>
      </c>
      <c r="O439" s="12">
        <v>122.28</v>
      </c>
      <c r="P439" s="12">
        <f t="shared" si="49"/>
        <v>199.28</v>
      </c>
      <c r="Q439" s="12">
        <f t="shared" si="48"/>
        <v>1200.72</v>
      </c>
    </row>
    <row r="440" spans="1:17" s="9" customFormat="1" ht="20.100000000000001" customHeight="1" x14ac:dyDescent="0.3">
      <c r="A440" s="9">
        <v>438</v>
      </c>
      <c r="B440" s="9" t="s">
        <v>945</v>
      </c>
      <c r="C440" s="9" t="s">
        <v>946</v>
      </c>
      <c r="D440" s="9" t="s">
        <v>416</v>
      </c>
      <c r="E440" s="15">
        <v>46143</v>
      </c>
      <c r="F440" s="15">
        <v>46325</v>
      </c>
      <c r="G440" s="11">
        <v>1400</v>
      </c>
      <c r="H440" s="12">
        <v>1400</v>
      </c>
      <c r="I440" s="13">
        <v>1</v>
      </c>
      <c r="J440" s="12">
        <f t="shared" si="43"/>
        <v>1400</v>
      </c>
      <c r="K440" s="12">
        <f t="shared" si="44"/>
        <v>77</v>
      </c>
      <c r="L440" s="12">
        <f t="shared" si="45"/>
        <v>182</v>
      </c>
      <c r="M440" s="12">
        <f t="shared" si="46"/>
        <v>1582</v>
      </c>
      <c r="N440" s="12">
        <f t="shared" si="47"/>
        <v>1323</v>
      </c>
      <c r="O440" s="12">
        <v>122.28</v>
      </c>
      <c r="P440" s="12">
        <f t="shared" si="49"/>
        <v>199.28</v>
      </c>
      <c r="Q440" s="12">
        <f t="shared" si="48"/>
        <v>1200.72</v>
      </c>
    </row>
    <row r="441" spans="1:17" s="9" customFormat="1" ht="20.100000000000001" customHeight="1" x14ac:dyDescent="0.3">
      <c r="A441" s="9">
        <v>439</v>
      </c>
      <c r="B441" s="9" t="s">
        <v>947</v>
      </c>
      <c r="C441" s="9" t="s">
        <v>948</v>
      </c>
      <c r="D441" s="9" t="s">
        <v>245</v>
      </c>
      <c r="E441" s="10">
        <v>46083</v>
      </c>
      <c r="F441" s="10">
        <v>46265</v>
      </c>
      <c r="G441" s="11">
        <v>1400</v>
      </c>
      <c r="H441" s="12">
        <v>1400</v>
      </c>
      <c r="I441" s="13">
        <v>1</v>
      </c>
      <c r="J441" s="12">
        <f t="shared" si="43"/>
        <v>1400</v>
      </c>
      <c r="K441" s="12">
        <f t="shared" si="44"/>
        <v>77</v>
      </c>
      <c r="L441" s="12">
        <f t="shared" si="45"/>
        <v>182</v>
      </c>
      <c r="M441" s="12">
        <f t="shared" si="46"/>
        <v>1582</v>
      </c>
      <c r="N441" s="12">
        <f t="shared" si="47"/>
        <v>1323</v>
      </c>
      <c r="O441" s="12">
        <v>122.28</v>
      </c>
      <c r="P441" s="12">
        <f t="shared" si="49"/>
        <v>199.28</v>
      </c>
      <c r="Q441" s="12">
        <f t="shared" si="48"/>
        <v>1200.72</v>
      </c>
    </row>
    <row r="442" spans="1:17" s="9" customFormat="1" ht="20.100000000000001" customHeight="1" x14ac:dyDescent="0.3">
      <c r="A442" s="9">
        <v>440</v>
      </c>
      <c r="B442" s="9" t="s">
        <v>949</v>
      </c>
      <c r="C442" s="9" t="s">
        <v>950</v>
      </c>
      <c r="D442" s="9" t="s">
        <v>42</v>
      </c>
      <c r="E442" s="10">
        <v>46113</v>
      </c>
      <c r="F442" s="10">
        <v>46295</v>
      </c>
      <c r="G442" s="11">
        <v>1400</v>
      </c>
      <c r="H442" s="12">
        <v>1400</v>
      </c>
      <c r="I442" s="13">
        <v>1</v>
      </c>
      <c r="J442" s="12">
        <f t="shared" si="43"/>
        <v>1400</v>
      </c>
      <c r="K442" s="12">
        <f t="shared" si="44"/>
        <v>77</v>
      </c>
      <c r="L442" s="12">
        <f t="shared" si="45"/>
        <v>182</v>
      </c>
      <c r="M442" s="12">
        <f t="shared" si="46"/>
        <v>1582</v>
      </c>
      <c r="N442" s="12">
        <f t="shared" si="47"/>
        <v>1323</v>
      </c>
      <c r="O442" s="12">
        <v>122.28</v>
      </c>
      <c r="P442" s="12">
        <f t="shared" si="49"/>
        <v>199.28</v>
      </c>
      <c r="Q442" s="12">
        <f t="shared" si="48"/>
        <v>1200.72</v>
      </c>
    </row>
    <row r="443" spans="1:17" s="9" customFormat="1" ht="20.100000000000001" customHeight="1" x14ac:dyDescent="0.3">
      <c r="A443" s="9">
        <v>441</v>
      </c>
      <c r="B443" s="9" t="s">
        <v>951</v>
      </c>
      <c r="C443" s="9" t="s">
        <v>952</v>
      </c>
      <c r="D443" s="9" t="s">
        <v>42</v>
      </c>
      <c r="E443" s="15">
        <v>46143</v>
      </c>
      <c r="F443" s="15">
        <v>46325</v>
      </c>
      <c r="G443" s="11">
        <v>1400</v>
      </c>
      <c r="H443" s="12">
        <v>1400</v>
      </c>
      <c r="I443" s="13">
        <v>1</v>
      </c>
      <c r="J443" s="12">
        <f t="shared" si="43"/>
        <v>1400</v>
      </c>
      <c r="K443" s="12">
        <f t="shared" si="44"/>
        <v>77</v>
      </c>
      <c r="L443" s="12">
        <f t="shared" si="45"/>
        <v>182</v>
      </c>
      <c r="M443" s="12">
        <f t="shared" si="46"/>
        <v>1582</v>
      </c>
      <c r="N443" s="12">
        <f t="shared" si="47"/>
        <v>1323</v>
      </c>
      <c r="O443" s="12">
        <v>122.28</v>
      </c>
      <c r="P443" s="12">
        <f t="shared" si="49"/>
        <v>199.28</v>
      </c>
      <c r="Q443" s="12">
        <f t="shared" si="48"/>
        <v>1200.72</v>
      </c>
    </row>
    <row r="444" spans="1:17" s="9" customFormat="1" ht="20.100000000000001" customHeight="1" x14ac:dyDescent="0.3">
      <c r="A444" s="9">
        <v>442</v>
      </c>
      <c r="B444" s="9" t="s">
        <v>953</v>
      </c>
      <c r="C444" s="9" t="s">
        <v>954</v>
      </c>
      <c r="D444" s="9" t="s">
        <v>42</v>
      </c>
      <c r="E444" s="15">
        <v>46143</v>
      </c>
      <c r="F444" s="15">
        <v>46325</v>
      </c>
      <c r="G444" s="11">
        <v>1400</v>
      </c>
      <c r="H444" s="12">
        <v>1400</v>
      </c>
      <c r="I444" s="13">
        <v>1</v>
      </c>
      <c r="J444" s="12">
        <f t="shared" si="43"/>
        <v>1400</v>
      </c>
      <c r="K444" s="12">
        <f t="shared" si="44"/>
        <v>77</v>
      </c>
      <c r="L444" s="12">
        <f t="shared" si="45"/>
        <v>182</v>
      </c>
      <c r="M444" s="12">
        <f t="shared" si="46"/>
        <v>1582</v>
      </c>
      <c r="N444" s="12">
        <f t="shared" si="47"/>
        <v>1323</v>
      </c>
      <c r="O444" s="12">
        <v>122.28</v>
      </c>
      <c r="P444" s="12">
        <f t="shared" si="49"/>
        <v>199.28</v>
      </c>
      <c r="Q444" s="12">
        <f t="shared" si="48"/>
        <v>1200.72</v>
      </c>
    </row>
    <row r="445" spans="1:17" s="9" customFormat="1" ht="20.100000000000001" customHeight="1" x14ac:dyDescent="0.3">
      <c r="A445" s="9">
        <v>443</v>
      </c>
      <c r="B445" s="9" t="s">
        <v>955</v>
      </c>
      <c r="C445" s="9" t="s">
        <v>956</v>
      </c>
      <c r="D445" s="9" t="s">
        <v>42</v>
      </c>
      <c r="E445" s="15">
        <v>46143</v>
      </c>
      <c r="F445" s="15">
        <v>46325</v>
      </c>
      <c r="G445" s="11">
        <v>1400</v>
      </c>
      <c r="H445" s="12">
        <v>1400</v>
      </c>
      <c r="I445" s="13">
        <v>1</v>
      </c>
      <c r="J445" s="12">
        <f t="shared" si="43"/>
        <v>1400</v>
      </c>
      <c r="K445" s="12">
        <f t="shared" si="44"/>
        <v>77</v>
      </c>
      <c r="L445" s="12">
        <f t="shared" si="45"/>
        <v>182</v>
      </c>
      <c r="M445" s="12">
        <f t="shared" si="46"/>
        <v>1582</v>
      </c>
      <c r="N445" s="12">
        <f t="shared" si="47"/>
        <v>1323</v>
      </c>
      <c r="O445" s="12">
        <v>122.28</v>
      </c>
      <c r="P445" s="12">
        <f t="shared" si="49"/>
        <v>199.28</v>
      </c>
      <c r="Q445" s="12">
        <f t="shared" si="48"/>
        <v>1200.72</v>
      </c>
    </row>
    <row r="446" spans="1:17" s="9" customFormat="1" ht="20.100000000000001" customHeight="1" x14ac:dyDescent="0.3">
      <c r="A446" s="9">
        <v>444</v>
      </c>
      <c r="B446" s="9" t="s">
        <v>957</v>
      </c>
      <c r="C446" s="9" t="s">
        <v>958</v>
      </c>
      <c r="D446" s="9" t="s">
        <v>42</v>
      </c>
      <c r="E446" s="15">
        <v>46143</v>
      </c>
      <c r="F446" s="15">
        <v>46325</v>
      </c>
      <c r="G446" s="11">
        <v>1400</v>
      </c>
      <c r="H446" s="12">
        <v>1400</v>
      </c>
      <c r="I446" s="13">
        <v>1</v>
      </c>
      <c r="J446" s="12">
        <f t="shared" si="43"/>
        <v>1400</v>
      </c>
      <c r="K446" s="12">
        <f t="shared" si="44"/>
        <v>77</v>
      </c>
      <c r="L446" s="12">
        <f t="shared" si="45"/>
        <v>182</v>
      </c>
      <c r="M446" s="12">
        <f t="shared" si="46"/>
        <v>1582</v>
      </c>
      <c r="N446" s="12">
        <f t="shared" si="47"/>
        <v>1323</v>
      </c>
      <c r="O446" s="12">
        <v>122.28</v>
      </c>
      <c r="P446" s="12">
        <f t="shared" si="49"/>
        <v>199.28</v>
      </c>
      <c r="Q446" s="12">
        <f t="shared" si="48"/>
        <v>1200.72</v>
      </c>
    </row>
    <row r="447" spans="1:17" s="9" customFormat="1" ht="20.100000000000001" customHeight="1" x14ac:dyDescent="0.3">
      <c r="A447" s="9">
        <v>445</v>
      </c>
      <c r="B447" s="9" t="s">
        <v>959</v>
      </c>
      <c r="C447" s="9" t="s">
        <v>960</v>
      </c>
      <c r="D447" s="9" t="s">
        <v>42</v>
      </c>
      <c r="E447" s="10">
        <v>46113</v>
      </c>
      <c r="F447" s="10">
        <v>46295</v>
      </c>
      <c r="G447" s="11">
        <v>1400</v>
      </c>
      <c r="H447" s="12">
        <v>1400</v>
      </c>
      <c r="I447" s="13">
        <v>1</v>
      </c>
      <c r="J447" s="12">
        <f t="shared" si="43"/>
        <v>1400</v>
      </c>
      <c r="K447" s="12">
        <f t="shared" si="44"/>
        <v>77</v>
      </c>
      <c r="L447" s="12">
        <f t="shared" si="45"/>
        <v>182</v>
      </c>
      <c r="M447" s="12">
        <f t="shared" si="46"/>
        <v>1582</v>
      </c>
      <c r="N447" s="12">
        <f t="shared" si="47"/>
        <v>1323</v>
      </c>
      <c r="O447" s="12">
        <v>122.28</v>
      </c>
      <c r="P447" s="12">
        <f t="shared" si="49"/>
        <v>199.28</v>
      </c>
      <c r="Q447" s="12">
        <f t="shared" si="48"/>
        <v>1200.72</v>
      </c>
    </row>
    <row r="448" spans="1:17" s="9" customFormat="1" ht="20.100000000000001" customHeight="1" x14ac:dyDescent="0.3">
      <c r="A448" s="9">
        <v>446</v>
      </c>
      <c r="B448" s="9" t="s">
        <v>961</v>
      </c>
      <c r="C448" s="9" t="s">
        <v>962</v>
      </c>
      <c r="D448" s="9" t="s">
        <v>42</v>
      </c>
      <c r="E448" s="15">
        <v>46143</v>
      </c>
      <c r="F448" s="15">
        <v>46325</v>
      </c>
      <c r="G448" s="11">
        <v>1400</v>
      </c>
      <c r="H448" s="12">
        <v>1400</v>
      </c>
      <c r="I448" s="13">
        <v>1</v>
      </c>
      <c r="J448" s="12">
        <f t="shared" si="43"/>
        <v>1400</v>
      </c>
      <c r="K448" s="12">
        <f t="shared" si="44"/>
        <v>77</v>
      </c>
      <c r="L448" s="12">
        <f t="shared" si="45"/>
        <v>182</v>
      </c>
      <c r="M448" s="12">
        <f t="shared" si="46"/>
        <v>1582</v>
      </c>
      <c r="N448" s="12">
        <f t="shared" si="47"/>
        <v>1323</v>
      </c>
      <c r="O448" s="12">
        <v>122.28</v>
      </c>
      <c r="P448" s="12">
        <f t="shared" si="49"/>
        <v>199.28</v>
      </c>
      <c r="Q448" s="12">
        <f t="shared" si="48"/>
        <v>1200.72</v>
      </c>
    </row>
    <row r="449" spans="1:83" s="9" customFormat="1" ht="20.100000000000001" customHeight="1" x14ac:dyDescent="0.3">
      <c r="A449" s="9">
        <v>447</v>
      </c>
      <c r="B449" s="9" t="s">
        <v>963</v>
      </c>
      <c r="C449" s="9" t="s">
        <v>964</v>
      </c>
      <c r="D449" s="9" t="s">
        <v>42</v>
      </c>
      <c r="E449" s="15">
        <v>46143</v>
      </c>
      <c r="F449" s="15">
        <v>46325</v>
      </c>
      <c r="G449" s="11">
        <v>1400</v>
      </c>
      <c r="H449" s="12">
        <v>1400</v>
      </c>
      <c r="I449" s="13">
        <v>1</v>
      </c>
      <c r="J449" s="12">
        <f t="shared" si="43"/>
        <v>1400</v>
      </c>
      <c r="K449" s="12">
        <f t="shared" si="44"/>
        <v>77</v>
      </c>
      <c r="L449" s="12">
        <f t="shared" si="45"/>
        <v>182</v>
      </c>
      <c r="M449" s="12">
        <f t="shared" si="46"/>
        <v>1582</v>
      </c>
      <c r="N449" s="12">
        <f t="shared" si="47"/>
        <v>1323</v>
      </c>
      <c r="O449" s="12">
        <v>122.28</v>
      </c>
      <c r="P449" s="12">
        <f t="shared" si="49"/>
        <v>199.28</v>
      </c>
      <c r="Q449" s="12">
        <f t="shared" si="48"/>
        <v>1200.72</v>
      </c>
    </row>
    <row r="450" spans="1:83" s="9" customFormat="1" ht="20.100000000000001" customHeight="1" x14ac:dyDescent="0.3">
      <c r="A450" s="9">
        <v>448</v>
      </c>
      <c r="B450" s="9" t="s">
        <v>965</v>
      </c>
      <c r="C450" s="9" t="s">
        <v>966</v>
      </c>
      <c r="D450" s="9" t="s">
        <v>296</v>
      </c>
      <c r="E450" s="10">
        <v>46113</v>
      </c>
      <c r="F450" s="10">
        <v>46295</v>
      </c>
      <c r="G450" s="11">
        <v>1400</v>
      </c>
      <c r="H450" s="12">
        <v>1400</v>
      </c>
      <c r="I450" s="13">
        <v>1</v>
      </c>
      <c r="J450" s="12">
        <f t="shared" si="43"/>
        <v>1400</v>
      </c>
      <c r="K450" s="12">
        <f t="shared" si="44"/>
        <v>77</v>
      </c>
      <c r="L450" s="12">
        <f t="shared" si="45"/>
        <v>182</v>
      </c>
      <c r="M450" s="12">
        <f t="shared" si="46"/>
        <v>1582</v>
      </c>
      <c r="N450" s="12">
        <f t="shared" si="47"/>
        <v>1323</v>
      </c>
      <c r="O450" s="12">
        <v>122.28</v>
      </c>
      <c r="P450" s="12">
        <f t="shared" si="49"/>
        <v>199.28</v>
      </c>
      <c r="Q450" s="12">
        <f t="shared" si="48"/>
        <v>1200.72</v>
      </c>
    </row>
    <row r="451" spans="1:83" s="16" customFormat="1" ht="20.100000000000001" customHeight="1" x14ac:dyDescent="0.3">
      <c r="A451" s="9">
        <v>449</v>
      </c>
      <c r="B451" s="9" t="s">
        <v>967</v>
      </c>
      <c r="C451" s="9" t="s">
        <v>968</v>
      </c>
      <c r="D451" s="9" t="s">
        <v>296</v>
      </c>
      <c r="E451" s="15">
        <v>46143</v>
      </c>
      <c r="F451" s="15">
        <v>46325</v>
      </c>
      <c r="G451" s="11">
        <v>1400</v>
      </c>
      <c r="H451" s="12">
        <v>1400</v>
      </c>
      <c r="I451" s="13">
        <v>1</v>
      </c>
      <c r="J451" s="12">
        <f t="shared" ref="J451:J470" si="50">H451*I451</f>
        <v>1400</v>
      </c>
      <c r="K451" s="12">
        <f t="shared" ref="K451:K470" si="51">J451*0.055</f>
        <v>77</v>
      </c>
      <c r="L451" s="12">
        <f t="shared" ref="L451:L470" si="52">0.13*J451</f>
        <v>182</v>
      </c>
      <c r="M451" s="12">
        <f t="shared" ref="M451:M470" si="53">J451+L451</f>
        <v>1582</v>
      </c>
      <c r="N451" s="12">
        <f t="shared" ref="N451:N470" si="54">J451-K451</f>
        <v>1323</v>
      </c>
      <c r="O451" s="12">
        <v>122.28</v>
      </c>
      <c r="P451" s="12">
        <f t="shared" si="49"/>
        <v>199.28</v>
      </c>
      <c r="Q451" s="12">
        <f t="shared" ref="Q451:Q470" si="55">J451-P451</f>
        <v>1200.72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</row>
    <row r="452" spans="1:83" s="9" customFormat="1" ht="20.100000000000001" customHeight="1" x14ac:dyDescent="0.3">
      <c r="A452" s="9">
        <v>450</v>
      </c>
      <c r="B452" s="9" t="s">
        <v>969</v>
      </c>
      <c r="C452" s="9" t="s">
        <v>970</v>
      </c>
      <c r="D452" s="9" t="s">
        <v>296</v>
      </c>
      <c r="E452" s="10">
        <v>46113</v>
      </c>
      <c r="F452" s="10">
        <v>46295</v>
      </c>
      <c r="G452" s="11">
        <v>1400</v>
      </c>
      <c r="H452" s="12">
        <v>1400</v>
      </c>
      <c r="I452" s="13">
        <v>1</v>
      </c>
      <c r="J452" s="12">
        <f t="shared" si="50"/>
        <v>1400</v>
      </c>
      <c r="K452" s="12">
        <f t="shared" si="51"/>
        <v>77</v>
      </c>
      <c r="L452" s="12">
        <f t="shared" si="52"/>
        <v>182</v>
      </c>
      <c r="M452" s="12">
        <f t="shared" si="53"/>
        <v>1582</v>
      </c>
      <c r="N452" s="12">
        <f t="shared" si="54"/>
        <v>1323</v>
      </c>
      <c r="O452" s="12">
        <v>122.28</v>
      </c>
      <c r="P452" s="12">
        <f t="shared" si="49"/>
        <v>199.28</v>
      </c>
      <c r="Q452" s="12">
        <f t="shared" si="55"/>
        <v>1200.72</v>
      </c>
    </row>
    <row r="453" spans="1:83" s="9" customFormat="1" ht="20.100000000000001" customHeight="1" x14ac:dyDescent="0.3">
      <c r="A453" s="9">
        <v>451</v>
      </c>
      <c r="B453" s="9" t="s">
        <v>971</v>
      </c>
      <c r="C453" s="9" t="s">
        <v>972</v>
      </c>
      <c r="D453" s="9" t="s">
        <v>460</v>
      </c>
      <c r="E453" s="15">
        <v>46143</v>
      </c>
      <c r="F453" s="15">
        <v>46325</v>
      </c>
      <c r="G453" s="11">
        <v>1400</v>
      </c>
      <c r="H453" s="12">
        <v>1400</v>
      </c>
      <c r="I453" s="13">
        <v>1</v>
      </c>
      <c r="J453" s="12">
        <f t="shared" si="50"/>
        <v>1400</v>
      </c>
      <c r="K453" s="12">
        <f t="shared" si="51"/>
        <v>77</v>
      </c>
      <c r="L453" s="12">
        <f t="shared" si="52"/>
        <v>182</v>
      </c>
      <c r="M453" s="12">
        <f t="shared" si="53"/>
        <v>1582</v>
      </c>
      <c r="N453" s="12">
        <f t="shared" si="54"/>
        <v>1323</v>
      </c>
      <c r="O453" s="12">
        <v>122.28</v>
      </c>
      <c r="P453" s="12">
        <f t="shared" si="49"/>
        <v>199.28</v>
      </c>
      <c r="Q453" s="12">
        <f t="shared" si="55"/>
        <v>1200.72</v>
      </c>
    </row>
    <row r="454" spans="1:83" s="9" customFormat="1" ht="20.100000000000001" customHeight="1" x14ac:dyDescent="0.3">
      <c r="A454" s="9">
        <v>452</v>
      </c>
      <c r="B454" s="24" t="s">
        <v>973</v>
      </c>
      <c r="C454" s="24" t="s">
        <v>974</v>
      </c>
      <c r="D454" s="24" t="s">
        <v>460</v>
      </c>
      <c r="E454" s="10">
        <v>46113</v>
      </c>
      <c r="F454" s="10">
        <v>46295</v>
      </c>
      <c r="G454" s="25">
        <v>1400</v>
      </c>
      <c r="H454" s="26">
        <v>1400</v>
      </c>
      <c r="I454" s="27">
        <v>1</v>
      </c>
      <c r="J454" s="26">
        <f t="shared" si="50"/>
        <v>1400</v>
      </c>
      <c r="K454" s="26">
        <f t="shared" si="51"/>
        <v>77</v>
      </c>
      <c r="L454" s="26">
        <f t="shared" si="52"/>
        <v>182</v>
      </c>
      <c r="M454" s="26">
        <f t="shared" si="53"/>
        <v>1582</v>
      </c>
      <c r="N454" s="26">
        <f t="shared" si="54"/>
        <v>1323</v>
      </c>
      <c r="O454" s="26">
        <v>122.28</v>
      </c>
      <c r="P454" s="26">
        <f t="shared" si="49"/>
        <v>199.28</v>
      </c>
      <c r="Q454" s="26">
        <f t="shared" si="55"/>
        <v>1200.72</v>
      </c>
    </row>
    <row r="455" spans="1:83" s="9" customFormat="1" ht="20.25" customHeight="1" x14ac:dyDescent="0.3">
      <c r="A455" s="9">
        <v>453</v>
      </c>
      <c r="B455" s="9" t="s">
        <v>975</v>
      </c>
      <c r="C455" s="9" t="s">
        <v>976</v>
      </c>
      <c r="D455" s="9" t="s">
        <v>460</v>
      </c>
      <c r="E455" s="10">
        <v>46113</v>
      </c>
      <c r="F455" s="10">
        <v>46295</v>
      </c>
      <c r="G455" s="11">
        <v>1400</v>
      </c>
      <c r="H455" s="12">
        <v>1400</v>
      </c>
      <c r="I455" s="13">
        <v>1</v>
      </c>
      <c r="J455" s="12">
        <f t="shared" si="50"/>
        <v>1400</v>
      </c>
      <c r="K455" s="12">
        <f t="shared" si="51"/>
        <v>77</v>
      </c>
      <c r="L455" s="12">
        <f t="shared" si="52"/>
        <v>182</v>
      </c>
      <c r="M455" s="12">
        <f t="shared" si="53"/>
        <v>1582</v>
      </c>
      <c r="N455" s="12">
        <f t="shared" si="54"/>
        <v>1323</v>
      </c>
      <c r="O455" s="12">
        <v>122.28</v>
      </c>
      <c r="P455" s="12">
        <f t="shared" si="49"/>
        <v>199.28</v>
      </c>
      <c r="Q455" s="12">
        <f t="shared" si="55"/>
        <v>1200.72</v>
      </c>
    </row>
    <row r="456" spans="1:83" s="19" customFormat="1" ht="20.100000000000001" customHeight="1" x14ac:dyDescent="0.3">
      <c r="A456" s="9">
        <v>454</v>
      </c>
      <c r="B456" s="9" t="s">
        <v>977</v>
      </c>
      <c r="C456" s="9" t="s">
        <v>978</v>
      </c>
      <c r="D456" s="9" t="s">
        <v>559</v>
      </c>
      <c r="E456" s="15">
        <v>46143</v>
      </c>
      <c r="F456" s="15">
        <v>46325</v>
      </c>
      <c r="G456" s="11">
        <v>1400</v>
      </c>
      <c r="H456" s="12">
        <v>1400</v>
      </c>
      <c r="I456" s="13">
        <v>1</v>
      </c>
      <c r="J456" s="12">
        <f t="shared" si="50"/>
        <v>1400</v>
      </c>
      <c r="K456" s="12">
        <f t="shared" si="51"/>
        <v>77</v>
      </c>
      <c r="L456" s="12">
        <f t="shared" si="52"/>
        <v>182</v>
      </c>
      <c r="M456" s="12">
        <f t="shared" si="53"/>
        <v>1582</v>
      </c>
      <c r="N456" s="12">
        <f t="shared" si="54"/>
        <v>1323</v>
      </c>
      <c r="O456" s="12">
        <v>122.28</v>
      </c>
      <c r="P456" s="12">
        <f t="shared" si="49"/>
        <v>199.28</v>
      </c>
      <c r="Q456" s="12">
        <f t="shared" si="55"/>
        <v>1200.72</v>
      </c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</row>
    <row r="457" spans="1:83" s="9" customFormat="1" ht="20.100000000000001" customHeight="1" x14ac:dyDescent="0.3">
      <c r="A457" s="9">
        <v>455</v>
      </c>
      <c r="B457" s="9" t="s">
        <v>979</v>
      </c>
      <c r="C457" s="9" t="s">
        <v>980</v>
      </c>
      <c r="D457" s="9" t="s">
        <v>277</v>
      </c>
      <c r="E457" s="10">
        <v>46113</v>
      </c>
      <c r="F457" s="10">
        <v>46295</v>
      </c>
      <c r="G457" s="11">
        <v>1400</v>
      </c>
      <c r="H457" s="12">
        <v>1400</v>
      </c>
      <c r="I457" s="13">
        <v>1</v>
      </c>
      <c r="J457" s="12">
        <f t="shared" si="50"/>
        <v>1400</v>
      </c>
      <c r="K457" s="12">
        <f t="shared" si="51"/>
        <v>77</v>
      </c>
      <c r="L457" s="12">
        <f t="shared" si="52"/>
        <v>182</v>
      </c>
      <c r="M457" s="12">
        <f t="shared" si="53"/>
        <v>1582</v>
      </c>
      <c r="N457" s="12">
        <f t="shared" si="54"/>
        <v>1323</v>
      </c>
      <c r="O457" s="12">
        <v>122.28</v>
      </c>
      <c r="P457" s="12">
        <f t="shared" si="49"/>
        <v>199.28</v>
      </c>
      <c r="Q457" s="12">
        <f t="shared" si="55"/>
        <v>1200.72</v>
      </c>
    </row>
    <row r="458" spans="1:83" s="9" customFormat="1" ht="20.100000000000001" customHeight="1" x14ac:dyDescent="0.3">
      <c r="A458" s="9">
        <v>456</v>
      </c>
      <c r="B458" s="9" t="s">
        <v>981</v>
      </c>
      <c r="C458" s="9" t="s">
        <v>982</v>
      </c>
      <c r="D458" s="9" t="s">
        <v>460</v>
      </c>
      <c r="E458" s="10">
        <v>46113</v>
      </c>
      <c r="F458" s="10">
        <v>46295</v>
      </c>
      <c r="G458" s="11">
        <v>1400</v>
      </c>
      <c r="H458" s="12">
        <v>1400</v>
      </c>
      <c r="I458" s="13">
        <v>1</v>
      </c>
      <c r="J458" s="12">
        <f t="shared" si="50"/>
        <v>1400</v>
      </c>
      <c r="K458" s="12">
        <f t="shared" si="51"/>
        <v>77</v>
      </c>
      <c r="L458" s="12">
        <f t="shared" si="52"/>
        <v>182</v>
      </c>
      <c r="M458" s="12">
        <f t="shared" si="53"/>
        <v>1582</v>
      </c>
      <c r="N458" s="12">
        <f t="shared" si="54"/>
        <v>1323</v>
      </c>
      <c r="O458" s="12">
        <v>122.28</v>
      </c>
      <c r="P458" s="12">
        <f t="shared" si="49"/>
        <v>199.28</v>
      </c>
      <c r="Q458" s="12">
        <f t="shared" si="55"/>
        <v>1200.72</v>
      </c>
    </row>
    <row r="459" spans="1:83" s="9" customFormat="1" ht="20.100000000000001" customHeight="1" x14ac:dyDescent="0.3">
      <c r="A459" s="9">
        <v>457</v>
      </c>
      <c r="B459" s="9" t="s">
        <v>983</v>
      </c>
      <c r="C459" s="9" t="s">
        <v>984</v>
      </c>
      <c r="D459" s="9" t="s">
        <v>460</v>
      </c>
      <c r="E459" s="10">
        <v>46113</v>
      </c>
      <c r="F459" s="10">
        <v>46295</v>
      </c>
      <c r="G459" s="11">
        <v>1400</v>
      </c>
      <c r="H459" s="12">
        <v>1400</v>
      </c>
      <c r="I459" s="13">
        <v>1</v>
      </c>
      <c r="J459" s="12">
        <f t="shared" si="50"/>
        <v>1400</v>
      </c>
      <c r="K459" s="12">
        <f t="shared" si="51"/>
        <v>77</v>
      </c>
      <c r="L459" s="12">
        <f t="shared" si="52"/>
        <v>182</v>
      </c>
      <c r="M459" s="12">
        <f t="shared" si="53"/>
        <v>1582</v>
      </c>
      <c r="N459" s="12">
        <f t="shared" si="54"/>
        <v>1323</v>
      </c>
      <c r="O459" s="12">
        <v>122.28</v>
      </c>
      <c r="P459" s="12">
        <f t="shared" si="49"/>
        <v>199.28</v>
      </c>
      <c r="Q459" s="12">
        <f t="shared" si="55"/>
        <v>1200.72</v>
      </c>
    </row>
    <row r="460" spans="1:83" s="9" customFormat="1" ht="20.100000000000001" customHeight="1" x14ac:dyDescent="0.3">
      <c r="A460" s="9">
        <v>458</v>
      </c>
      <c r="B460" s="9" t="s">
        <v>985</v>
      </c>
      <c r="C460" s="9" t="s">
        <v>986</v>
      </c>
      <c r="D460" s="9" t="s">
        <v>987</v>
      </c>
      <c r="E460" s="15">
        <v>46143</v>
      </c>
      <c r="F460" s="15">
        <v>46325</v>
      </c>
      <c r="G460" s="11">
        <v>1400</v>
      </c>
      <c r="H460" s="12">
        <v>1400</v>
      </c>
      <c r="I460" s="13">
        <v>1</v>
      </c>
      <c r="J460" s="12">
        <f t="shared" si="50"/>
        <v>1400</v>
      </c>
      <c r="K460" s="12">
        <f t="shared" si="51"/>
        <v>77</v>
      </c>
      <c r="L460" s="12">
        <f t="shared" si="52"/>
        <v>182</v>
      </c>
      <c r="M460" s="12">
        <f t="shared" si="53"/>
        <v>1582</v>
      </c>
      <c r="N460" s="12">
        <f t="shared" si="54"/>
        <v>1323</v>
      </c>
      <c r="O460" s="12">
        <v>122.28</v>
      </c>
      <c r="P460" s="12">
        <f t="shared" si="49"/>
        <v>199.28</v>
      </c>
      <c r="Q460" s="12">
        <f t="shared" si="55"/>
        <v>1200.72</v>
      </c>
    </row>
    <row r="461" spans="1:83" s="9" customFormat="1" ht="20.100000000000001" customHeight="1" x14ac:dyDescent="0.3">
      <c r="A461" s="9">
        <v>459</v>
      </c>
      <c r="B461" s="9" t="s">
        <v>988</v>
      </c>
      <c r="C461" s="9" t="s">
        <v>989</v>
      </c>
      <c r="D461" s="9" t="s">
        <v>987</v>
      </c>
      <c r="E461" s="15">
        <v>46143</v>
      </c>
      <c r="F461" s="15">
        <v>46325</v>
      </c>
      <c r="G461" s="11">
        <v>1400</v>
      </c>
      <c r="H461" s="12">
        <v>1400</v>
      </c>
      <c r="I461" s="13">
        <v>1</v>
      </c>
      <c r="J461" s="12">
        <f t="shared" si="50"/>
        <v>1400</v>
      </c>
      <c r="K461" s="12">
        <f t="shared" si="51"/>
        <v>77</v>
      </c>
      <c r="L461" s="12">
        <f t="shared" si="52"/>
        <v>182</v>
      </c>
      <c r="M461" s="12">
        <f t="shared" si="53"/>
        <v>1582</v>
      </c>
      <c r="N461" s="12">
        <f t="shared" si="54"/>
        <v>1323</v>
      </c>
      <c r="O461" s="12">
        <v>122.28</v>
      </c>
      <c r="P461" s="12">
        <f t="shared" si="49"/>
        <v>199.28</v>
      </c>
      <c r="Q461" s="12">
        <f t="shared" si="55"/>
        <v>1200.72</v>
      </c>
    </row>
    <row r="462" spans="1:83" s="19" customFormat="1" ht="20.100000000000001" customHeight="1" x14ac:dyDescent="0.3">
      <c r="A462" s="9">
        <v>460</v>
      </c>
      <c r="B462" s="9" t="s">
        <v>990</v>
      </c>
      <c r="C462" s="9" t="s">
        <v>991</v>
      </c>
      <c r="D462" s="9" t="s">
        <v>42</v>
      </c>
      <c r="E462" s="15">
        <v>46143</v>
      </c>
      <c r="F462" s="15">
        <v>46325</v>
      </c>
      <c r="G462" s="11">
        <v>1400</v>
      </c>
      <c r="H462" s="12">
        <v>1400</v>
      </c>
      <c r="I462" s="13">
        <v>1</v>
      </c>
      <c r="J462" s="12">
        <f t="shared" si="50"/>
        <v>1400</v>
      </c>
      <c r="K462" s="12">
        <f t="shared" si="51"/>
        <v>77</v>
      </c>
      <c r="L462" s="12">
        <f t="shared" si="52"/>
        <v>182</v>
      </c>
      <c r="M462" s="12">
        <f t="shared" si="53"/>
        <v>1582</v>
      </c>
      <c r="N462" s="12">
        <f t="shared" si="54"/>
        <v>1323</v>
      </c>
      <c r="O462" s="12">
        <v>122.28</v>
      </c>
      <c r="P462" s="12">
        <f t="shared" si="49"/>
        <v>199.28</v>
      </c>
      <c r="Q462" s="12">
        <f t="shared" si="55"/>
        <v>1200.72</v>
      </c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</row>
    <row r="463" spans="1:83" s="9" customFormat="1" ht="20.100000000000001" customHeight="1" x14ac:dyDescent="0.3">
      <c r="A463" s="9">
        <v>461</v>
      </c>
      <c r="B463" s="9" t="s">
        <v>992</v>
      </c>
      <c r="C463" s="9" t="s">
        <v>993</v>
      </c>
      <c r="D463" s="9" t="s">
        <v>192</v>
      </c>
      <c r="E463" s="15">
        <v>46143</v>
      </c>
      <c r="F463" s="15">
        <v>46325</v>
      </c>
      <c r="G463" s="11">
        <v>1400</v>
      </c>
      <c r="H463" s="12">
        <v>1400</v>
      </c>
      <c r="I463" s="13">
        <v>1</v>
      </c>
      <c r="J463" s="12">
        <f t="shared" si="50"/>
        <v>1400</v>
      </c>
      <c r="K463" s="12">
        <f t="shared" si="51"/>
        <v>77</v>
      </c>
      <c r="L463" s="12">
        <f t="shared" si="52"/>
        <v>182</v>
      </c>
      <c r="M463" s="12">
        <f t="shared" si="53"/>
        <v>1582</v>
      </c>
      <c r="N463" s="12">
        <f t="shared" si="54"/>
        <v>1323</v>
      </c>
      <c r="O463" s="12">
        <v>122.28</v>
      </c>
      <c r="P463" s="12">
        <f t="shared" si="49"/>
        <v>199.28</v>
      </c>
      <c r="Q463" s="12">
        <f t="shared" si="55"/>
        <v>1200.72</v>
      </c>
    </row>
    <row r="464" spans="1:83" s="9" customFormat="1" ht="20.100000000000001" customHeight="1" x14ac:dyDescent="0.3">
      <c r="A464" s="9">
        <v>462</v>
      </c>
      <c r="B464" s="9" t="s">
        <v>994</v>
      </c>
      <c r="C464" s="9" t="s">
        <v>995</v>
      </c>
      <c r="D464" s="9" t="s">
        <v>996</v>
      </c>
      <c r="E464" s="10">
        <v>46113</v>
      </c>
      <c r="F464" s="10">
        <v>46295</v>
      </c>
      <c r="G464" s="11">
        <v>1400</v>
      </c>
      <c r="H464" s="12">
        <v>1400</v>
      </c>
      <c r="I464" s="13">
        <v>1</v>
      </c>
      <c r="J464" s="12">
        <f t="shared" si="50"/>
        <v>1400</v>
      </c>
      <c r="K464" s="12">
        <f t="shared" si="51"/>
        <v>77</v>
      </c>
      <c r="L464" s="12">
        <f t="shared" si="52"/>
        <v>182</v>
      </c>
      <c r="M464" s="12">
        <f t="shared" si="53"/>
        <v>1582</v>
      </c>
      <c r="N464" s="12">
        <f t="shared" si="54"/>
        <v>1323</v>
      </c>
      <c r="O464" s="12">
        <v>122.28</v>
      </c>
      <c r="P464" s="12">
        <f t="shared" si="49"/>
        <v>199.28</v>
      </c>
      <c r="Q464" s="12">
        <f t="shared" si="55"/>
        <v>1200.72</v>
      </c>
    </row>
    <row r="465" spans="1:17" s="9" customFormat="1" ht="20.100000000000001" customHeight="1" x14ac:dyDescent="0.3">
      <c r="A465" s="9">
        <v>463</v>
      </c>
      <c r="B465" s="9" t="s">
        <v>997</v>
      </c>
      <c r="C465" s="9" t="s">
        <v>998</v>
      </c>
      <c r="D465" s="9" t="s">
        <v>996</v>
      </c>
      <c r="E465" s="10">
        <v>46113</v>
      </c>
      <c r="F465" s="10">
        <v>46295</v>
      </c>
      <c r="G465" s="11">
        <v>1400</v>
      </c>
      <c r="H465" s="12">
        <v>1400</v>
      </c>
      <c r="I465" s="13">
        <v>1</v>
      </c>
      <c r="J465" s="12">
        <f t="shared" si="50"/>
        <v>1400</v>
      </c>
      <c r="K465" s="12">
        <f t="shared" si="51"/>
        <v>77</v>
      </c>
      <c r="L465" s="12">
        <f t="shared" si="52"/>
        <v>182</v>
      </c>
      <c r="M465" s="12">
        <f t="shared" si="53"/>
        <v>1582</v>
      </c>
      <c r="N465" s="12">
        <f t="shared" si="54"/>
        <v>1323</v>
      </c>
      <c r="O465" s="12">
        <v>122.28</v>
      </c>
      <c r="P465" s="12">
        <f t="shared" si="49"/>
        <v>199.28</v>
      </c>
      <c r="Q465" s="12">
        <f t="shared" si="55"/>
        <v>1200.72</v>
      </c>
    </row>
    <row r="466" spans="1:17" s="9" customFormat="1" ht="20.100000000000001" customHeight="1" x14ac:dyDescent="0.3">
      <c r="A466" s="9">
        <v>464</v>
      </c>
      <c r="B466" s="9" t="s">
        <v>999</v>
      </c>
      <c r="C466" s="9" t="s">
        <v>1000</v>
      </c>
      <c r="D466" s="9" t="s">
        <v>996</v>
      </c>
      <c r="E466" s="10">
        <v>46054</v>
      </c>
      <c r="F466" s="10">
        <v>46234</v>
      </c>
      <c r="G466" s="11">
        <v>1400</v>
      </c>
      <c r="H466" s="12">
        <v>1400</v>
      </c>
      <c r="I466" s="13">
        <v>1</v>
      </c>
      <c r="J466" s="12">
        <f t="shared" si="50"/>
        <v>1400</v>
      </c>
      <c r="K466" s="12">
        <f t="shared" si="51"/>
        <v>77</v>
      </c>
      <c r="L466" s="12">
        <f t="shared" si="52"/>
        <v>182</v>
      </c>
      <c r="M466" s="12">
        <f t="shared" si="53"/>
        <v>1582</v>
      </c>
      <c r="N466" s="12">
        <f t="shared" si="54"/>
        <v>1323</v>
      </c>
      <c r="O466" s="12">
        <v>122.28</v>
      </c>
      <c r="P466" s="12">
        <f t="shared" si="49"/>
        <v>199.28</v>
      </c>
      <c r="Q466" s="12">
        <f t="shared" si="55"/>
        <v>1200.72</v>
      </c>
    </row>
    <row r="467" spans="1:17" s="9" customFormat="1" ht="20.100000000000001" customHeight="1" x14ac:dyDescent="0.3">
      <c r="A467" s="9">
        <v>465</v>
      </c>
      <c r="B467" s="9" t="s">
        <v>1001</v>
      </c>
      <c r="C467" s="9" t="s">
        <v>1002</v>
      </c>
      <c r="D467" s="9" t="s">
        <v>996</v>
      </c>
      <c r="E467" s="10">
        <v>45748</v>
      </c>
      <c r="F467" s="10">
        <v>46295</v>
      </c>
      <c r="G467" s="11">
        <v>1400</v>
      </c>
      <c r="H467" s="12">
        <v>1400</v>
      </c>
      <c r="I467" s="13">
        <v>1</v>
      </c>
      <c r="J467" s="12">
        <f t="shared" si="50"/>
        <v>1400</v>
      </c>
      <c r="K467" s="12">
        <f t="shared" si="51"/>
        <v>77</v>
      </c>
      <c r="L467" s="12">
        <f t="shared" si="52"/>
        <v>182</v>
      </c>
      <c r="M467" s="12">
        <f t="shared" si="53"/>
        <v>1582</v>
      </c>
      <c r="N467" s="12">
        <f t="shared" si="54"/>
        <v>1323</v>
      </c>
      <c r="O467" s="12">
        <v>122.28</v>
      </c>
      <c r="P467" s="12">
        <f t="shared" si="49"/>
        <v>199.28</v>
      </c>
      <c r="Q467" s="12">
        <f t="shared" si="55"/>
        <v>1200.72</v>
      </c>
    </row>
    <row r="468" spans="1:17" s="9" customFormat="1" ht="20.100000000000001" customHeight="1" x14ac:dyDescent="0.3">
      <c r="A468" s="9">
        <v>466</v>
      </c>
      <c r="B468" s="9" t="s">
        <v>1003</v>
      </c>
      <c r="C468" s="9" t="s">
        <v>1004</v>
      </c>
      <c r="D468" s="9" t="s">
        <v>493</v>
      </c>
      <c r="E468" s="10">
        <v>46143</v>
      </c>
      <c r="F468" s="10">
        <v>46325</v>
      </c>
      <c r="G468" s="11">
        <v>1400</v>
      </c>
      <c r="H468" s="12">
        <v>1400</v>
      </c>
      <c r="I468" s="13">
        <v>1</v>
      </c>
      <c r="J468" s="12">
        <f t="shared" si="50"/>
        <v>1400</v>
      </c>
      <c r="K468" s="12">
        <f t="shared" si="51"/>
        <v>77</v>
      </c>
      <c r="L468" s="12">
        <f t="shared" si="52"/>
        <v>182</v>
      </c>
      <c r="M468" s="12">
        <f t="shared" si="53"/>
        <v>1582</v>
      </c>
      <c r="N468" s="12">
        <f t="shared" si="54"/>
        <v>1323</v>
      </c>
      <c r="O468" s="12">
        <v>122.28</v>
      </c>
      <c r="P468" s="12">
        <f t="shared" si="49"/>
        <v>199.28</v>
      </c>
      <c r="Q468" s="12">
        <f t="shared" si="55"/>
        <v>1200.72</v>
      </c>
    </row>
    <row r="469" spans="1:17" s="9" customFormat="1" ht="20.100000000000001" customHeight="1" x14ac:dyDescent="0.3">
      <c r="A469" s="9">
        <v>467</v>
      </c>
      <c r="B469" s="9" t="s">
        <v>1005</v>
      </c>
      <c r="C469" s="9" t="s">
        <v>1006</v>
      </c>
      <c r="D469" s="9" t="s">
        <v>493</v>
      </c>
      <c r="E469" s="10">
        <v>46143</v>
      </c>
      <c r="F469" s="10">
        <v>46325</v>
      </c>
      <c r="G469" s="11">
        <v>1400</v>
      </c>
      <c r="H469" s="12">
        <v>1400</v>
      </c>
      <c r="I469" s="13">
        <v>1</v>
      </c>
      <c r="J469" s="12">
        <f t="shared" si="50"/>
        <v>1400</v>
      </c>
      <c r="K469" s="12">
        <f t="shared" si="51"/>
        <v>77</v>
      </c>
      <c r="L469" s="12">
        <f t="shared" si="52"/>
        <v>182</v>
      </c>
      <c r="M469" s="12">
        <f t="shared" si="53"/>
        <v>1582</v>
      </c>
      <c r="N469" s="12">
        <f t="shared" si="54"/>
        <v>1323</v>
      </c>
      <c r="O469" s="12">
        <v>122.28</v>
      </c>
      <c r="P469" s="12">
        <f t="shared" si="49"/>
        <v>199.28</v>
      </c>
      <c r="Q469" s="12">
        <f t="shared" si="55"/>
        <v>1200.72</v>
      </c>
    </row>
    <row r="470" spans="1:17" s="9" customFormat="1" ht="20.100000000000001" customHeight="1" x14ac:dyDescent="0.3">
      <c r="A470" s="9">
        <v>468</v>
      </c>
      <c r="B470" s="9" t="s">
        <v>1007</v>
      </c>
      <c r="C470" s="9" t="s">
        <v>1008</v>
      </c>
      <c r="D470" s="9" t="s">
        <v>493</v>
      </c>
      <c r="E470" s="10">
        <v>46143</v>
      </c>
      <c r="F470" s="10">
        <v>46325</v>
      </c>
      <c r="G470" s="11">
        <v>1400</v>
      </c>
      <c r="H470" s="12">
        <v>1400</v>
      </c>
      <c r="I470" s="13">
        <v>1</v>
      </c>
      <c r="J470" s="12">
        <f t="shared" si="50"/>
        <v>1400</v>
      </c>
      <c r="K470" s="12">
        <f t="shared" si="51"/>
        <v>77</v>
      </c>
      <c r="L470" s="12">
        <f t="shared" si="52"/>
        <v>182</v>
      </c>
      <c r="M470" s="12">
        <f t="shared" si="53"/>
        <v>1582</v>
      </c>
      <c r="N470" s="12">
        <f t="shared" si="54"/>
        <v>1323</v>
      </c>
      <c r="O470" s="12">
        <v>122.28</v>
      </c>
      <c r="P470" s="12">
        <f t="shared" si="49"/>
        <v>199.28</v>
      </c>
      <c r="Q470" s="12">
        <f t="shared" si="55"/>
        <v>1200.72</v>
      </c>
    </row>
    <row r="471" spans="1:17" s="9" customFormat="1" ht="20.100000000000001" customHeight="1" x14ac:dyDescent="0.3">
      <c r="A471" s="9">
        <v>469</v>
      </c>
      <c r="B471" s="9" t="s">
        <v>1009</v>
      </c>
      <c r="C471" s="9" t="s">
        <v>1010</v>
      </c>
      <c r="D471" s="9" t="s">
        <v>493</v>
      </c>
      <c r="E471" s="10">
        <v>46113</v>
      </c>
      <c r="F471" s="10">
        <v>46295</v>
      </c>
      <c r="G471" s="11">
        <v>1400</v>
      </c>
      <c r="H471" s="12">
        <v>1400</v>
      </c>
      <c r="I471" s="13">
        <v>1</v>
      </c>
      <c r="J471" s="12">
        <v>1400</v>
      </c>
      <c r="K471" s="12">
        <v>77</v>
      </c>
      <c r="L471" s="12">
        <v>182</v>
      </c>
      <c r="M471" s="12">
        <v>1582</v>
      </c>
      <c r="N471" s="12">
        <v>1323</v>
      </c>
      <c r="O471" s="12">
        <v>122.28</v>
      </c>
      <c r="P471" s="12">
        <v>199.28</v>
      </c>
      <c r="Q471" s="12">
        <v>1200.72</v>
      </c>
    </row>
    <row r="472" spans="1:17" s="9" customFormat="1" ht="20.100000000000001" customHeight="1" x14ac:dyDescent="0.3">
      <c r="A472" s="9">
        <v>470</v>
      </c>
      <c r="B472" s="9" t="s">
        <v>1011</v>
      </c>
      <c r="C472" s="9" t="s">
        <v>1012</v>
      </c>
      <c r="D472" s="9" t="s">
        <v>493</v>
      </c>
      <c r="E472" s="10">
        <v>46113</v>
      </c>
      <c r="F472" s="10">
        <v>46295</v>
      </c>
      <c r="G472" s="11">
        <v>1400</v>
      </c>
      <c r="H472" s="12">
        <v>1400</v>
      </c>
      <c r="I472" s="13">
        <v>1</v>
      </c>
      <c r="J472" s="12">
        <f t="shared" ref="J472:J526" si="56">H472*I472</f>
        <v>1400</v>
      </c>
      <c r="K472" s="12">
        <f t="shared" ref="K472:K526" si="57">J472*0.055</f>
        <v>77</v>
      </c>
      <c r="L472" s="12">
        <f t="shared" ref="L472:L526" si="58">0.13*J472</f>
        <v>182</v>
      </c>
      <c r="M472" s="12">
        <f t="shared" ref="M472:M526" si="59">J472+L472</f>
        <v>1582</v>
      </c>
      <c r="N472" s="12">
        <f t="shared" ref="N472:N526" si="60">J472-K472</f>
        <v>1323</v>
      </c>
      <c r="O472" s="12">
        <v>122.28</v>
      </c>
      <c r="P472" s="12">
        <f>K472+O472</f>
        <v>199.28</v>
      </c>
      <c r="Q472" s="12">
        <f>J472-P472</f>
        <v>1200.72</v>
      </c>
    </row>
    <row r="473" spans="1:17" s="9" customFormat="1" ht="20.100000000000001" customHeight="1" x14ac:dyDescent="0.3">
      <c r="A473" s="9">
        <v>471</v>
      </c>
      <c r="B473" s="9" t="s">
        <v>1013</v>
      </c>
      <c r="C473" s="9" t="s">
        <v>1014</v>
      </c>
      <c r="D473" s="9" t="s">
        <v>353</v>
      </c>
      <c r="E473" s="15">
        <v>46143</v>
      </c>
      <c r="F473" s="15">
        <v>46325</v>
      </c>
      <c r="G473" s="11">
        <v>1400</v>
      </c>
      <c r="H473" s="12">
        <v>1400</v>
      </c>
      <c r="I473" s="13">
        <v>1</v>
      </c>
      <c r="J473" s="12">
        <f t="shared" si="56"/>
        <v>1400</v>
      </c>
      <c r="K473" s="12">
        <f t="shared" si="57"/>
        <v>77</v>
      </c>
      <c r="L473" s="12">
        <f t="shared" si="58"/>
        <v>182</v>
      </c>
      <c r="M473" s="12">
        <f t="shared" si="59"/>
        <v>1582</v>
      </c>
      <c r="N473" s="12">
        <f t="shared" si="60"/>
        <v>1323</v>
      </c>
      <c r="O473" s="12">
        <v>122.28</v>
      </c>
      <c r="P473" s="12">
        <f>K473+O473</f>
        <v>199.28</v>
      </c>
      <c r="Q473" s="12">
        <f>J473-P473</f>
        <v>1200.72</v>
      </c>
    </row>
    <row r="474" spans="1:17" s="9" customFormat="1" ht="20.100000000000001" customHeight="1" x14ac:dyDescent="0.3">
      <c r="A474" s="9">
        <v>472</v>
      </c>
      <c r="B474" s="9" t="s">
        <v>1015</v>
      </c>
      <c r="C474" s="9" t="s">
        <v>1016</v>
      </c>
      <c r="D474" s="9" t="s">
        <v>353</v>
      </c>
      <c r="E474" s="15">
        <v>46143</v>
      </c>
      <c r="F474" s="15">
        <v>46325</v>
      </c>
      <c r="G474" s="11">
        <v>1400</v>
      </c>
      <c r="H474" s="12">
        <v>1400</v>
      </c>
      <c r="I474" s="13">
        <v>1</v>
      </c>
      <c r="J474" s="12">
        <f t="shared" si="56"/>
        <v>1400</v>
      </c>
      <c r="K474" s="12">
        <f t="shared" si="57"/>
        <v>77</v>
      </c>
      <c r="L474" s="12">
        <f t="shared" si="58"/>
        <v>182</v>
      </c>
      <c r="M474" s="12">
        <f t="shared" si="59"/>
        <v>1582</v>
      </c>
      <c r="N474" s="12">
        <f t="shared" si="60"/>
        <v>1323</v>
      </c>
      <c r="O474" s="12">
        <v>122.28</v>
      </c>
      <c r="P474" s="12">
        <f>K474+O474</f>
        <v>199.28</v>
      </c>
      <c r="Q474" s="12">
        <f>J474-P474</f>
        <v>1200.72</v>
      </c>
    </row>
    <row r="475" spans="1:17" s="9" customFormat="1" ht="20.100000000000001" customHeight="1" x14ac:dyDescent="0.3">
      <c r="A475" s="9">
        <v>473</v>
      </c>
      <c r="B475" s="9" t="s">
        <v>1017</v>
      </c>
      <c r="C475" s="9" t="s">
        <v>1018</v>
      </c>
      <c r="D475" s="9" t="s">
        <v>353</v>
      </c>
      <c r="E475" s="15">
        <v>46143</v>
      </c>
      <c r="F475" s="15">
        <v>46325</v>
      </c>
      <c r="G475" s="11">
        <v>1400</v>
      </c>
      <c r="H475" s="12">
        <v>1400</v>
      </c>
      <c r="I475" s="13">
        <v>1</v>
      </c>
      <c r="J475" s="12">
        <f t="shared" si="56"/>
        <v>1400</v>
      </c>
      <c r="K475" s="12">
        <f t="shared" si="57"/>
        <v>77</v>
      </c>
      <c r="L475" s="12">
        <f t="shared" si="58"/>
        <v>182</v>
      </c>
      <c r="M475" s="12">
        <f t="shared" si="59"/>
        <v>1582</v>
      </c>
      <c r="N475" s="12">
        <f t="shared" si="60"/>
        <v>1323</v>
      </c>
      <c r="O475" s="12">
        <v>122.28</v>
      </c>
      <c r="P475" s="12">
        <f>K475+O475</f>
        <v>199.28</v>
      </c>
      <c r="Q475" s="12">
        <f>J475-P475</f>
        <v>1200.72</v>
      </c>
    </row>
    <row r="476" spans="1:17" s="9" customFormat="1" ht="20.100000000000001" customHeight="1" x14ac:dyDescent="0.3">
      <c r="A476" s="9">
        <v>474</v>
      </c>
      <c r="B476" s="9" t="s">
        <v>1019</v>
      </c>
      <c r="C476" s="9" t="s">
        <v>1020</v>
      </c>
      <c r="D476" s="9" t="s">
        <v>353</v>
      </c>
      <c r="E476" s="15">
        <v>46143</v>
      </c>
      <c r="F476" s="15">
        <v>46325</v>
      </c>
      <c r="G476" s="11">
        <v>1400</v>
      </c>
      <c r="H476" s="12">
        <v>1400</v>
      </c>
      <c r="I476" s="13">
        <v>1</v>
      </c>
      <c r="J476" s="12">
        <f t="shared" si="56"/>
        <v>1400</v>
      </c>
      <c r="K476" s="12">
        <f t="shared" si="57"/>
        <v>77</v>
      </c>
      <c r="L476" s="12">
        <f t="shared" si="58"/>
        <v>182</v>
      </c>
      <c r="M476" s="12">
        <f t="shared" si="59"/>
        <v>1582</v>
      </c>
      <c r="N476" s="12">
        <f t="shared" si="60"/>
        <v>1323</v>
      </c>
      <c r="O476" s="12">
        <v>122.28</v>
      </c>
      <c r="P476" s="12">
        <f>K476+O476</f>
        <v>199.28</v>
      </c>
      <c r="Q476" s="12">
        <f>J476-P476</f>
        <v>1200.72</v>
      </c>
    </row>
    <row r="477" spans="1:17" s="9" customFormat="1" ht="20.100000000000001" customHeight="1" x14ac:dyDescent="0.3">
      <c r="A477" s="9">
        <v>475</v>
      </c>
      <c r="B477" s="9" t="s">
        <v>1021</v>
      </c>
      <c r="C477" s="9" t="s">
        <v>1022</v>
      </c>
      <c r="D477" s="9" t="s">
        <v>274</v>
      </c>
      <c r="E477" s="10">
        <v>46113</v>
      </c>
      <c r="F477" s="10">
        <v>46295</v>
      </c>
      <c r="G477" s="11">
        <v>1400</v>
      </c>
      <c r="H477" s="12">
        <v>1400</v>
      </c>
      <c r="I477" s="13">
        <v>1</v>
      </c>
      <c r="J477" s="12">
        <f t="shared" si="56"/>
        <v>1400</v>
      </c>
      <c r="K477" s="12">
        <f t="shared" si="57"/>
        <v>77</v>
      </c>
      <c r="L477" s="12">
        <f t="shared" si="58"/>
        <v>182</v>
      </c>
      <c r="M477" s="12">
        <f t="shared" si="59"/>
        <v>1582</v>
      </c>
      <c r="N477" s="12">
        <f t="shared" si="60"/>
        <v>1323</v>
      </c>
      <c r="O477" s="12">
        <v>122.28</v>
      </c>
      <c r="P477" s="12">
        <v>199.28</v>
      </c>
      <c r="Q477" s="12">
        <v>1200.72</v>
      </c>
    </row>
    <row r="478" spans="1:17" s="9" customFormat="1" ht="20.100000000000001" customHeight="1" x14ac:dyDescent="0.3">
      <c r="A478" s="9">
        <v>476</v>
      </c>
      <c r="B478" s="9" t="s">
        <v>1023</v>
      </c>
      <c r="C478" s="9" t="s">
        <v>1024</v>
      </c>
      <c r="D478" s="9" t="s">
        <v>353</v>
      </c>
      <c r="E478" s="15">
        <v>46143</v>
      </c>
      <c r="F478" s="15">
        <v>46325</v>
      </c>
      <c r="G478" s="11">
        <v>1400</v>
      </c>
      <c r="H478" s="12">
        <v>1400</v>
      </c>
      <c r="I478" s="13">
        <v>1</v>
      </c>
      <c r="J478" s="12">
        <f t="shared" si="56"/>
        <v>1400</v>
      </c>
      <c r="K478" s="12">
        <f t="shared" si="57"/>
        <v>77</v>
      </c>
      <c r="L478" s="12">
        <f t="shared" si="58"/>
        <v>182</v>
      </c>
      <c r="M478" s="12">
        <f t="shared" si="59"/>
        <v>1582</v>
      </c>
      <c r="N478" s="12">
        <f t="shared" si="60"/>
        <v>1323</v>
      </c>
      <c r="O478" s="12">
        <v>122.28</v>
      </c>
      <c r="P478" s="12">
        <f>K478+O478</f>
        <v>199.28</v>
      </c>
      <c r="Q478" s="12">
        <f>J478-P478</f>
        <v>1200.72</v>
      </c>
    </row>
    <row r="479" spans="1:17" s="9" customFormat="1" ht="20.100000000000001" customHeight="1" x14ac:dyDescent="0.3">
      <c r="A479" s="9">
        <v>477</v>
      </c>
      <c r="B479" s="9" t="s">
        <v>1025</v>
      </c>
      <c r="C479" s="9" t="s">
        <v>1026</v>
      </c>
      <c r="D479" s="9" t="s">
        <v>1027</v>
      </c>
      <c r="E479" s="15">
        <v>46113</v>
      </c>
      <c r="F479" s="15">
        <v>46295</v>
      </c>
      <c r="G479" s="11">
        <v>1400</v>
      </c>
      <c r="H479" s="12">
        <v>1400</v>
      </c>
      <c r="I479" s="13">
        <v>1</v>
      </c>
      <c r="J479" s="12">
        <f t="shared" si="56"/>
        <v>1400</v>
      </c>
      <c r="K479" s="12">
        <f t="shared" si="57"/>
        <v>77</v>
      </c>
      <c r="L479" s="12">
        <f t="shared" si="58"/>
        <v>182</v>
      </c>
      <c r="M479" s="12">
        <f t="shared" si="59"/>
        <v>1582</v>
      </c>
      <c r="N479" s="12">
        <f t="shared" si="60"/>
        <v>1323</v>
      </c>
      <c r="O479" s="12">
        <v>122.28</v>
      </c>
      <c r="P479" s="12">
        <v>199.28</v>
      </c>
      <c r="Q479" s="12">
        <v>1200.72</v>
      </c>
    </row>
    <row r="480" spans="1:17" s="9" customFormat="1" ht="20.100000000000001" customHeight="1" x14ac:dyDescent="0.3">
      <c r="A480" s="9">
        <v>478</v>
      </c>
      <c r="B480" s="9" t="s">
        <v>1028</v>
      </c>
      <c r="C480" s="9" t="s">
        <v>1029</v>
      </c>
      <c r="D480" s="9" t="s">
        <v>1027</v>
      </c>
      <c r="E480" s="15">
        <v>46113</v>
      </c>
      <c r="F480" s="15">
        <v>46295</v>
      </c>
      <c r="G480" s="11">
        <v>1400</v>
      </c>
      <c r="H480" s="12">
        <v>1400</v>
      </c>
      <c r="I480" s="13">
        <v>1</v>
      </c>
      <c r="J480" s="12">
        <f t="shared" si="56"/>
        <v>1400</v>
      </c>
      <c r="K480" s="12">
        <f t="shared" si="57"/>
        <v>77</v>
      </c>
      <c r="L480" s="12">
        <f t="shared" si="58"/>
        <v>182</v>
      </c>
      <c r="M480" s="12">
        <f t="shared" si="59"/>
        <v>1582</v>
      </c>
      <c r="N480" s="12">
        <f t="shared" si="60"/>
        <v>1323</v>
      </c>
      <c r="O480" s="12">
        <v>122.28</v>
      </c>
      <c r="P480" s="12">
        <f>K480+O480</f>
        <v>199.28</v>
      </c>
      <c r="Q480" s="12">
        <f>J480-P480</f>
        <v>1200.72</v>
      </c>
    </row>
    <row r="481" spans="1:83" s="9" customFormat="1" ht="20.100000000000001" customHeight="1" x14ac:dyDescent="0.3">
      <c r="A481" s="9">
        <v>479</v>
      </c>
      <c r="B481" s="9" t="s">
        <v>1030</v>
      </c>
      <c r="C481" s="9" t="s">
        <v>1031</v>
      </c>
      <c r="D481" s="9" t="s">
        <v>1027</v>
      </c>
      <c r="E481" s="15">
        <v>46113</v>
      </c>
      <c r="F481" s="15">
        <v>46295</v>
      </c>
      <c r="G481" s="11">
        <v>1400</v>
      </c>
      <c r="H481" s="12">
        <v>1400</v>
      </c>
      <c r="I481" s="13">
        <v>1</v>
      </c>
      <c r="J481" s="12">
        <f t="shared" si="56"/>
        <v>1400</v>
      </c>
      <c r="K481" s="12">
        <f t="shared" si="57"/>
        <v>77</v>
      </c>
      <c r="L481" s="12">
        <f t="shared" si="58"/>
        <v>182</v>
      </c>
      <c r="M481" s="12">
        <f t="shared" si="59"/>
        <v>1582</v>
      </c>
      <c r="N481" s="12">
        <f t="shared" si="60"/>
        <v>1323</v>
      </c>
      <c r="O481" s="12">
        <v>122.28</v>
      </c>
      <c r="P481" s="12">
        <v>199.28</v>
      </c>
      <c r="Q481" s="12">
        <v>1200.72</v>
      </c>
    </row>
    <row r="482" spans="1:83" s="9" customFormat="1" ht="20.100000000000001" customHeight="1" x14ac:dyDescent="0.3">
      <c r="A482" s="9">
        <v>480</v>
      </c>
      <c r="B482" s="9" t="s">
        <v>1032</v>
      </c>
      <c r="C482" s="9" t="s">
        <v>1033</v>
      </c>
      <c r="D482" s="14" t="s">
        <v>26</v>
      </c>
      <c r="E482" s="10">
        <v>46113</v>
      </c>
      <c r="F482" s="10">
        <v>46295</v>
      </c>
      <c r="G482" s="11">
        <v>1400</v>
      </c>
      <c r="H482" s="12">
        <v>1400</v>
      </c>
      <c r="I482" s="13">
        <v>1</v>
      </c>
      <c r="J482" s="12">
        <f t="shared" si="56"/>
        <v>1400</v>
      </c>
      <c r="K482" s="12">
        <f t="shared" si="57"/>
        <v>77</v>
      </c>
      <c r="L482" s="12">
        <f t="shared" si="58"/>
        <v>182</v>
      </c>
      <c r="M482" s="12">
        <f t="shared" si="59"/>
        <v>1582</v>
      </c>
      <c r="N482" s="12">
        <f t="shared" si="60"/>
        <v>1323</v>
      </c>
      <c r="O482" s="12">
        <v>122.28</v>
      </c>
      <c r="P482" s="12">
        <f t="shared" ref="P482:P526" si="61">K482+O482</f>
        <v>199.28</v>
      </c>
      <c r="Q482" s="12">
        <f t="shared" ref="Q482:Q526" si="62">J482-P482</f>
        <v>1200.72</v>
      </c>
    </row>
    <row r="483" spans="1:83" s="9" customFormat="1" ht="20.100000000000001" customHeight="1" x14ac:dyDescent="0.3">
      <c r="A483" s="9">
        <v>481</v>
      </c>
      <c r="B483" s="9" t="s">
        <v>1034</v>
      </c>
      <c r="C483" s="9" t="s">
        <v>1035</v>
      </c>
      <c r="D483" s="9" t="s">
        <v>124</v>
      </c>
      <c r="E483" s="10">
        <v>46143</v>
      </c>
      <c r="F483" s="10">
        <v>46325</v>
      </c>
      <c r="G483" s="11">
        <v>1400</v>
      </c>
      <c r="H483" s="12">
        <v>1400</v>
      </c>
      <c r="I483" s="13">
        <v>1</v>
      </c>
      <c r="J483" s="12">
        <f t="shared" si="56"/>
        <v>1400</v>
      </c>
      <c r="K483" s="12">
        <f t="shared" si="57"/>
        <v>77</v>
      </c>
      <c r="L483" s="12">
        <f t="shared" si="58"/>
        <v>182</v>
      </c>
      <c r="M483" s="12">
        <f t="shared" si="59"/>
        <v>1582</v>
      </c>
      <c r="N483" s="12">
        <f t="shared" si="60"/>
        <v>1323</v>
      </c>
      <c r="O483" s="12">
        <v>122.28</v>
      </c>
      <c r="P483" s="12">
        <f t="shared" si="61"/>
        <v>199.28</v>
      </c>
      <c r="Q483" s="12">
        <f t="shared" si="62"/>
        <v>1200.72</v>
      </c>
    </row>
    <row r="484" spans="1:83" s="9" customFormat="1" ht="20.100000000000001" customHeight="1" x14ac:dyDescent="0.3">
      <c r="A484" s="9">
        <v>482</v>
      </c>
      <c r="B484" s="9" t="s">
        <v>1036</v>
      </c>
      <c r="C484" s="9" t="s">
        <v>1037</v>
      </c>
      <c r="D484" s="9" t="s">
        <v>143</v>
      </c>
      <c r="E484" s="10">
        <v>46143</v>
      </c>
      <c r="F484" s="10">
        <v>46325</v>
      </c>
      <c r="G484" s="11">
        <v>1400</v>
      </c>
      <c r="H484" s="12">
        <v>1400</v>
      </c>
      <c r="I484" s="13">
        <v>1</v>
      </c>
      <c r="J484" s="12">
        <f t="shared" si="56"/>
        <v>1400</v>
      </c>
      <c r="K484" s="12">
        <f t="shared" si="57"/>
        <v>77</v>
      </c>
      <c r="L484" s="12">
        <f t="shared" si="58"/>
        <v>182</v>
      </c>
      <c r="M484" s="12">
        <f t="shared" si="59"/>
        <v>1582</v>
      </c>
      <c r="N484" s="12">
        <f t="shared" si="60"/>
        <v>1323</v>
      </c>
      <c r="O484" s="12">
        <v>122.28</v>
      </c>
      <c r="P484" s="12">
        <f t="shared" si="61"/>
        <v>199.28</v>
      </c>
      <c r="Q484" s="12">
        <f t="shared" si="62"/>
        <v>1200.72</v>
      </c>
    </row>
    <row r="485" spans="1:83" s="9" customFormat="1" ht="20.100000000000001" customHeight="1" x14ac:dyDescent="0.3">
      <c r="A485" s="9">
        <v>483</v>
      </c>
      <c r="B485" s="9" t="s">
        <v>1038</v>
      </c>
      <c r="C485" s="9" t="s">
        <v>1039</v>
      </c>
      <c r="D485" s="9" t="s">
        <v>353</v>
      </c>
      <c r="E485" s="10">
        <v>46143</v>
      </c>
      <c r="F485" s="10">
        <v>46325</v>
      </c>
      <c r="G485" s="11">
        <v>1400</v>
      </c>
      <c r="H485" s="12">
        <v>1400</v>
      </c>
      <c r="I485" s="13">
        <v>1</v>
      </c>
      <c r="J485" s="12">
        <f t="shared" si="56"/>
        <v>1400</v>
      </c>
      <c r="K485" s="12">
        <f t="shared" si="57"/>
        <v>77</v>
      </c>
      <c r="L485" s="12">
        <f t="shared" si="58"/>
        <v>182</v>
      </c>
      <c r="M485" s="12">
        <f t="shared" si="59"/>
        <v>1582</v>
      </c>
      <c r="N485" s="12">
        <f t="shared" si="60"/>
        <v>1323</v>
      </c>
      <c r="O485" s="12">
        <v>122.28</v>
      </c>
      <c r="P485" s="12">
        <f t="shared" si="61"/>
        <v>199.28</v>
      </c>
      <c r="Q485" s="12">
        <f t="shared" si="62"/>
        <v>1200.72</v>
      </c>
    </row>
    <row r="486" spans="1:83" s="9" customFormat="1" ht="20.100000000000001" customHeight="1" x14ac:dyDescent="0.3">
      <c r="A486" s="9">
        <v>484</v>
      </c>
      <c r="B486" s="9" t="s">
        <v>1040</v>
      </c>
      <c r="C486" s="17" t="s">
        <v>1041</v>
      </c>
      <c r="D486" s="9" t="s">
        <v>23</v>
      </c>
      <c r="E486" s="10">
        <v>46143</v>
      </c>
      <c r="F486" s="10">
        <v>46325</v>
      </c>
      <c r="G486" s="11">
        <v>1400</v>
      </c>
      <c r="H486" s="12">
        <v>1400</v>
      </c>
      <c r="I486" s="13">
        <v>1</v>
      </c>
      <c r="J486" s="12">
        <f t="shared" si="56"/>
        <v>1400</v>
      </c>
      <c r="K486" s="12">
        <f t="shared" si="57"/>
        <v>77</v>
      </c>
      <c r="L486" s="12">
        <f t="shared" si="58"/>
        <v>182</v>
      </c>
      <c r="M486" s="12">
        <f t="shared" si="59"/>
        <v>1582</v>
      </c>
      <c r="N486" s="12">
        <f t="shared" si="60"/>
        <v>1323</v>
      </c>
      <c r="O486" s="12">
        <v>122.28</v>
      </c>
      <c r="P486" s="12">
        <f t="shared" si="61"/>
        <v>199.28</v>
      </c>
      <c r="Q486" s="12">
        <f t="shared" si="62"/>
        <v>1200.72</v>
      </c>
    </row>
    <row r="487" spans="1:83" s="9" customFormat="1" ht="20.100000000000001" customHeight="1" x14ac:dyDescent="0.3">
      <c r="A487" s="9">
        <v>485</v>
      </c>
      <c r="B487" s="9" t="s">
        <v>1042</v>
      </c>
      <c r="C487" s="9" t="s">
        <v>1043</v>
      </c>
      <c r="D487" s="9" t="s">
        <v>277</v>
      </c>
      <c r="E487" s="10">
        <v>46113</v>
      </c>
      <c r="F487" s="10">
        <v>46295</v>
      </c>
      <c r="G487" s="11">
        <v>1400</v>
      </c>
      <c r="H487" s="12">
        <v>1400</v>
      </c>
      <c r="I487" s="13">
        <v>1</v>
      </c>
      <c r="J487" s="12">
        <f t="shared" si="56"/>
        <v>1400</v>
      </c>
      <c r="K487" s="12">
        <f t="shared" si="57"/>
        <v>77</v>
      </c>
      <c r="L487" s="12">
        <f t="shared" si="58"/>
        <v>182</v>
      </c>
      <c r="M487" s="12">
        <f t="shared" si="59"/>
        <v>1582</v>
      </c>
      <c r="N487" s="12">
        <f t="shared" si="60"/>
        <v>1323</v>
      </c>
      <c r="O487" s="12">
        <v>122.28</v>
      </c>
      <c r="P487" s="12">
        <f t="shared" si="61"/>
        <v>199.28</v>
      </c>
      <c r="Q487" s="12">
        <f t="shared" si="62"/>
        <v>1200.72</v>
      </c>
    </row>
    <row r="488" spans="1:83" s="9" customFormat="1" ht="20.100000000000001" customHeight="1" x14ac:dyDescent="0.3">
      <c r="A488" s="9">
        <v>486</v>
      </c>
      <c r="B488" s="9" t="s">
        <v>1044</v>
      </c>
      <c r="C488" s="9" t="s">
        <v>1045</v>
      </c>
      <c r="D488" s="9" t="s">
        <v>87</v>
      </c>
      <c r="E488" s="15">
        <v>46143</v>
      </c>
      <c r="F488" s="15">
        <v>46325</v>
      </c>
      <c r="G488" s="11">
        <v>2500</v>
      </c>
      <c r="H488" s="12">
        <v>2500</v>
      </c>
      <c r="I488" s="13">
        <v>1</v>
      </c>
      <c r="J488" s="12">
        <f t="shared" si="56"/>
        <v>2500</v>
      </c>
      <c r="K488" s="12">
        <f t="shared" si="57"/>
        <v>137.5</v>
      </c>
      <c r="L488" s="12">
        <f t="shared" si="58"/>
        <v>325</v>
      </c>
      <c r="M488" s="12">
        <f t="shared" si="59"/>
        <v>2825</v>
      </c>
      <c r="N488" s="12">
        <f t="shared" si="60"/>
        <v>2362.5</v>
      </c>
      <c r="O488" s="12">
        <v>304.19</v>
      </c>
      <c r="P488" s="12">
        <f t="shared" si="61"/>
        <v>441.69</v>
      </c>
      <c r="Q488" s="12">
        <f t="shared" si="62"/>
        <v>2058.31</v>
      </c>
    </row>
    <row r="489" spans="1:83" s="9" customFormat="1" ht="20.100000000000001" customHeight="1" x14ac:dyDescent="0.3">
      <c r="A489" s="9">
        <v>487</v>
      </c>
      <c r="B489" s="9" t="s">
        <v>1046</v>
      </c>
      <c r="C489" s="9" t="s">
        <v>1047</v>
      </c>
      <c r="D489" s="9" t="s">
        <v>192</v>
      </c>
      <c r="E489" s="15">
        <v>46143</v>
      </c>
      <c r="F489" s="15">
        <v>46325</v>
      </c>
      <c r="G489" s="11">
        <v>1400</v>
      </c>
      <c r="H489" s="12">
        <v>1400</v>
      </c>
      <c r="I489" s="13">
        <v>1</v>
      </c>
      <c r="J489" s="12">
        <f t="shared" si="56"/>
        <v>1400</v>
      </c>
      <c r="K489" s="12">
        <f t="shared" si="57"/>
        <v>77</v>
      </c>
      <c r="L489" s="12">
        <f t="shared" si="58"/>
        <v>182</v>
      </c>
      <c r="M489" s="12">
        <f t="shared" si="59"/>
        <v>1582</v>
      </c>
      <c r="N489" s="12">
        <f t="shared" si="60"/>
        <v>1323</v>
      </c>
      <c r="O489" s="12">
        <v>122.28</v>
      </c>
      <c r="P489" s="12">
        <f t="shared" si="61"/>
        <v>199.28</v>
      </c>
      <c r="Q489" s="12">
        <f t="shared" si="62"/>
        <v>1200.72</v>
      </c>
    </row>
    <row r="490" spans="1:83" s="9" customFormat="1" ht="20.100000000000001" customHeight="1" x14ac:dyDescent="0.3">
      <c r="A490" s="9">
        <v>488</v>
      </c>
      <c r="B490" s="9" t="s">
        <v>1048</v>
      </c>
      <c r="C490" s="9" t="s">
        <v>1049</v>
      </c>
      <c r="D490" s="9" t="s">
        <v>233</v>
      </c>
      <c r="E490" s="10">
        <v>46113</v>
      </c>
      <c r="F490" s="10">
        <v>46295</v>
      </c>
      <c r="G490" s="11">
        <v>1400</v>
      </c>
      <c r="H490" s="12">
        <v>1400</v>
      </c>
      <c r="I490" s="13">
        <v>1</v>
      </c>
      <c r="J490" s="12">
        <f t="shared" si="56"/>
        <v>1400</v>
      </c>
      <c r="K490" s="12">
        <f t="shared" si="57"/>
        <v>77</v>
      </c>
      <c r="L490" s="12">
        <f t="shared" si="58"/>
        <v>182</v>
      </c>
      <c r="M490" s="12">
        <f t="shared" si="59"/>
        <v>1582</v>
      </c>
      <c r="N490" s="12">
        <f t="shared" si="60"/>
        <v>1323</v>
      </c>
      <c r="O490" s="12">
        <v>122.28</v>
      </c>
      <c r="P490" s="12">
        <f t="shared" si="61"/>
        <v>199.28</v>
      </c>
      <c r="Q490" s="12">
        <f t="shared" si="62"/>
        <v>1200.72</v>
      </c>
    </row>
    <row r="491" spans="1:83" s="9" customFormat="1" ht="20.100000000000001" customHeight="1" x14ac:dyDescent="0.3">
      <c r="A491" s="9">
        <v>489</v>
      </c>
      <c r="B491" s="9" t="s">
        <v>1050</v>
      </c>
      <c r="C491" s="9" t="s">
        <v>1051</v>
      </c>
      <c r="D491" s="9" t="s">
        <v>166</v>
      </c>
      <c r="E491" s="15">
        <v>46143</v>
      </c>
      <c r="F491" s="15">
        <v>46325</v>
      </c>
      <c r="G491" s="11">
        <v>1400</v>
      </c>
      <c r="H491" s="12">
        <v>1400</v>
      </c>
      <c r="I491" s="13">
        <v>1</v>
      </c>
      <c r="J491" s="12">
        <f t="shared" si="56"/>
        <v>1400</v>
      </c>
      <c r="K491" s="12">
        <f t="shared" si="57"/>
        <v>77</v>
      </c>
      <c r="L491" s="12">
        <f t="shared" si="58"/>
        <v>182</v>
      </c>
      <c r="M491" s="12">
        <f t="shared" si="59"/>
        <v>1582</v>
      </c>
      <c r="N491" s="12">
        <f t="shared" si="60"/>
        <v>1323</v>
      </c>
      <c r="O491" s="12">
        <v>122.28</v>
      </c>
      <c r="P491" s="12">
        <f t="shared" si="61"/>
        <v>199.28</v>
      </c>
      <c r="Q491" s="12">
        <f t="shared" si="62"/>
        <v>1200.72</v>
      </c>
    </row>
    <row r="492" spans="1:83" s="9" customFormat="1" ht="20.100000000000001" customHeight="1" x14ac:dyDescent="0.3">
      <c r="A492" s="9">
        <v>490</v>
      </c>
      <c r="B492" s="9" t="s">
        <v>1052</v>
      </c>
      <c r="C492" s="9" t="s">
        <v>1053</v>
      </c>
      <c r="D492" s="9" t="s">
        <v>166</v>
      </c>
      <c r="E492" s="15">
        <v>46143</v>
      </c>
      <c r="F492" s="15">
        <v>46325</v>
      </c>
      <c r="G492" s="11">
        <v>1400</v>
      </c>
      <c r="H492" s="12">
        <v>1400</v>
      </c>
      <c r="I492" s="13">
        <v>1</v>
      </c>
      <c r="J492" s="12">
        <f t="shared" si="56"/>
        <v>1400</v>
      </c>
      <c r="K492" s="12">
        <f t="shared" si="57"/>
        <v>77</v>
      </c>
      <c r="L492" s="12">
        <f t="shared" si="58"/>
        <v>182</v>
      </c>
      <c r="M492" s="12">
        <f t="shared" si="59"/>
        <v>1582</v>
      </c>
      <c r="N492" s="12">
        <f t="shared" si="60"/>
        <v>1323</v>
      </c>
      <c r="O492" s="12">
        <v>122.28</v>
      </c>
      <c r="P492" s="12">
        <f t="shared" si="61"/>
        <v>199.28</v>
      </c>
      <c r="Q492" s="12">
        <f t="shared" si="62"/>
        <v>1200.72</v>
      </c>
    </row>
    <row r="493" spans="1:83" s="9" customFormat="1" ht="20.100000000000001" customHeight="1" x14ac:dyDescent="0.3">
      <c r="A493" s="9">
        <v>491</v>
      </c>
      <c r="B493" s="9" t="s">
        <v>1054</v>
      </c>
      <c r="C493" s="9" t="s">
        <v>1055</v>
      </c>
      <c r="D493" s="9" t="s">
        <v>225</v>
      </c>
      <c r="E493" s="15">
        <v>46143</v>
      </c>
      <c r="F493" s="15">
        <v>46325</v>
      </c>
      <c r="G493" s="11">
        <v>1400</v>
      </c>
      <c r="H493" s="12">
        <v>1400</v>
      </c>
      <c r="I493" s="13">
        <v>1</v>
      </c>
      <c r="J493" s="12">
        <f t="shared" si="56"/>
        <v>1400</v>
      </c>
      <c r="K493" s="12">
        <f t="shared" si="57"/>
        <v>77</v>
      </c>
      <c r="L493" s="12">
        <f t="shared" si="58"/>
        <v>182</v>
      </c>
      <c r="M493" s="12">
        <f t="shared" si="59"/>
        <v>1582</v>
      </c>
      <c r="N493" s="12">
        <f t="shared" si="60"/>
        <v>1323</v>
      </c>
      <c r="O493" s="12">
        <v>122.28</v>
      </c>
      <c r="P493" s="12">
        <f t="shared" si="61"/>
        <v>199.28</v>
      </c>
      <c r="Q493" s="12">
        <f t="shared" si="62"/>
        <v>1200.72</v>
      </c>
    </row>
    <row r="494" spans="1:83" s="9" customFormat="1" ht="20.100000000000001" customHeight="1" x14ac:dyDescent="0.3">
      <c r="A494" s="9">
        <v>492</v>
      </c>
      <c r="B494" s="9" t="s">
        <v>1056</v>
      </c>
      <c r="C494" s="9" t="s">
        <v>1057</v>
      </c>
      <c r="D494" s="9" t="s">
        <v>225</v>
      </c>
      <c r="E494" s="15">
        <v>46143</v>
      </c>
      <c r="F494" s="15">
        <v>46325</v>
      </c>
      <c r="G494" s="11">
        <v>1400</v>
      </c>
      <c r="H494" s="12">
        <v>1400</v>
      </c>
      <c r="I494" s="13">
        <v>1</v>
      </c>
      <c r="J494" s="12">
        <f t="shared" si="56"/>
        <v>1400</v>
      </c>
      <c r="K494" s="12">
        <f t="shared" si="57"/>
        <v>77</v>
      </c>
      <c r="L494" s="12">
        <f t="shared" si="58"/>
        <v>182</v>
      </c>
      <c r="M494" s="12">
        <f t="shared" si="59"/>
        <v>1582</v>
      </c>
      <c r="N494" s="12">
        <f t="shared" si="60"/>
        <v>1323</v>
      </c>
      <c r="O494" s="12">
        <v>122.28</v>
      </c>
      <c r="P494" s="12">
        <f t="shared" si="61"/>
        <v>199.28</v>
      </c>
      <c r="Q494" s="12">
        <f t="shared" si="62"/>
        <v>1200.72</v>
      </c>
    </row>
    <row r="495" spans="1:83" s="9" customFormat="1" x14ac:dyDescent="0.3">
      <c r="A495" s="9">
        <v>493</v>
      </c>
      <c r="B495" s="9" t="s">
        <v>1058</v>
      </c>
      <c r="C495" s="9" t="s">
        <v>1059</v>
      </c>
      <c r="D495" s="9" t="s">
        <v>225</v>
      </c>
      <c r="E495" s="15">
        <v>46143</v>
      </c>
      <c r="F495" s="15">
        <v>46325</v>
      </c>
      <c r="G495" s="11">
        <v>1400</v>
      </c>
      <c r="H495" s="12">
        <v>1400</v>
      </c>
      <c r="I495" s="13">
        <v>1</v>
      </c>
      <c r="J495" s="12">
        <f t="shared" si="56"/>
        <v>1400</v>
      </c>
      <c r="K495" s="12">
        <f t="shared" si="57"/>
        <v>77</v>
      </c>
      <c r="L495" s="12">
        <f t="shared" si="58"/>
        <v>182</v>
      </c>
      <c r="M495" s="12">
        <f t="shared" si="59"/>
        <v>1582</v>
      </c>
      <c r="N495" s="12">
        <f t="shared" si="60"/>
        <v>1323</v>
      </c>
      <c r="O495" s="12">
        <v>122.28</v>
      </c>
      <c r="P495" s="12">
        <f t="shared" si="61"/>
        <v>199.28</v>
      </c>
      <c r="Q495" s="12">
        <f t="shared" si="62"/>
        <v>1200.72</v>
      </c>
    </row>
    <row r="496" spans="1:83" s="9" customFormat="1" x14ac:dyDescent="0.3">
      <c r="A496" s="9">
        <v>494</v>
      </c>
      <c r="B496" s="9" t="s">
        <v>1060</v>
      </c>
      <c r="C496" s="9" t="s">
        <v>1061</v>
      </c>
      <c r="D496" s="9" t="s">
        <v>42</v>
      </c>
      <c r="E496" s="15">
        <v>46143</v>
      </c>
      <c r="F496" s="15">
        <v>46325</v>
      </c>
      <c r="G496" s="11">
        <v>1400</v>
      </c>
      <c r="H496" s="12">
        <v>1400</v>
      </c>
      <c r="I496" s="13">
        <v>1</v>
      </c>
      <c r="J496" s="12">
        <f t="shared" si="56"/>
        <v>1400</v>
      </c>
      <c r="K496" s="12">
        <f t="shared" si="57"/>
        <v>77</v>
      </c>
      <c r="L496" s="12">
        <f t="shared" si="58"/>
        <v>182</v>
      </c>
      <c r="M496" s="12">
        <f t="shared" si="59"/>
        <v>1582</v>
      </c>
      <c r="N496" s="12">
        <f t="shared" si="60"/>
        <v>1323</v>
      </c>
      <c r="O496" s="12">
        <v>122.28</v>
      </c>
      <c r="P496" s="12">
        <f t="shared" si="61"/>
        <v>199.28</v>
      </c>
      <c r="Q496" s="12">
        <f t="shared" si="62"/>
        <v>1200.72</v>
      </c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</row>
    <row r="497" spans="1:83" s="16" customFormat="1" x14ac:dyDescent="0.3">
      <c r="A497" s="9">
        <v>495</v>
      </c>
      <c r="B497" s="9" t="s">
        <v>1062</v>
      </c>
      <c r="C497" s="9" t="s">
        <v>1063</v>
      </c>
      <c r="D497" s="9" t="s">
        <v>1064</v>
      </c>
      <c r="E497" s="15">
        <v>46143</v>
      </c>
      <c r="F497" s="15">
        <v>46325</v>
      </c>
      <c r="G497" s="11">
        <v>1400</v>
      </c>
      <c r="H497" s="12">
        <v>1400</v>
      </c>
      <c r="I497" s="13">
        <v>1</v>
      </c>
      <c r="J497" s="12">
        <f t="shared" si="56"/>
        <v>1400</v>
      </c>
      <c r="K497" s="12">
        <f t="shared" si="57"/>
        <v>77</v>
      </c>
      <c r="L497" s="12">
        <f t="shared" si="58"/>
        <v>182</v>
      </c>
      <c r="M497" s="12">
        <f t="shared" si="59"/>
        <v>1582</v>
      </c>
      <c r="N497" s="12">
        <f t="shared" si="60"/>
        <v>1323</v>
      </c>
      <c r="O497" s="12">
        <v>122.28</v>
      </c>
      <c r="P497" s="12">
        <f t="shared" si="61"/>
        <v>199.28</v>
      </c>
      <c r="Q497" s="12">
        <f t="shared" si="62"/>
        <v>1200.72</v>
      </c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</row>
    <row r="498" spans="1:83" s="16" customFormat="1" x14ac:dyDescent="0.3">
      <c r="A498" s="9">
        <v>496</v>
      </c>
      <c r="B498" s="9" t="s">
        <v>1065</v>
      </c>
      <c r="C498" s="9" t="s">
        <v>1066</v>
      </c>
      <c r="D498" s="9" t="s">
        <v>1064</v>
      </c>
      <c r="E498" s="15">
        <v>46143</v>
      </c>
      <c r="F498" s="15">
        <v>46325</v>
      </c>
      <c r="G498" s="11">
        <v>1400</v>
      </c>
      <c r="H498" s="12">
        <v>1400</v>
      </c>
      <c r="I498" s="13">
        <v>1</v>
      </c>
      <c r="J498" s="12">
        <f t="shared" si="56"/>
        <v>1400</v>
      </c>
      <c r="K498" s="12">
        <f t="shared" si="57"/>
        <v>77</v>
      </c>
      <c r="L498" s="12">
        <f t="shared" si="58"/>
        <v>182</v>
      </c>
      <c r="M498" s="12">
        <f t="shared" si="59"/>
        <v>1582</v>
      </c>
      <c r="N498" s="12">
        <f t="shared" si="60"/>
        <v>1323</v>
      </c>
      <c r="O498" s="12">
        <v>122.28</v>
      </c>
      <c r="P498" s="12">
        <f t="shared" si="61"/>
        <v>199.28</v>
      </c>
      <c r="Q498" s="12">
        <f t="shared" si="62"/>
        <v>1200.72</v>
      </c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</row>
    <row r="499" spans="1:83" s="9" customFormat="1" x14ac:dyDescent="0.3">
      <c r="A499" s="9">
        <v>497</v>
      </c>
      <c r="B499" s="9" t="s">
        <v>1067</v>
      </c>
      <c r="C499" s="9" t="s">
        <v>1068</v>
      </c>
      <c r="D499" s="9" t="s">
        <v>1064</v>
      </c>
      <c r="E499" s="15">
        <v>46143</v>
      </c>
      <c r="F499" s="15">
        <v>46325</v>
      </c>
      <c r="G499" s="11">
        <v>1400</v>
      </c>
      <c r="H499" s="12">
        <v>1400</v>
      </c>
      <c r="I499" s="13">
        <v>1</v>
      </c>
      <c r="J499" s="12">
        <f t="shared" si="56"/>
        <v>1400</v>
      </c>
      <c r="K499" s="12">
        <f t="shared" si="57"/>
        <v>77</v>
      </c>
      <c r="L499" s="12">
        <f t="shared" si="58"/>
        <v>182</v>
      </c>
      <c r="M499" s="12">
        <f t="shared" si="59"/>
        <v>1582</v>
      </c>
      <c r="N499" s="12">
        <f t="shared" si="60"/>
        <v>1323</v>
      </c>
      <c r="O499" s="12">
        <v>122.28</v>
      </c>
      <c r="P499" s="12">
        <f t="shared" si="61"/>
        <v>199.28</v>
      </c>
      <c r="Q499" s="12">
        <f t="shared" si="62"/>
        <v>1200.72</v>
      </c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</row>
    <row r="500" spans="1:83" s="9" customFormat="1" x14ac:dyDescent="0.3">
      <c r="A500" s="9">
        <v>498</v>
      </c>
      <c r="B500" s="9" t="s">
        <v>1069</v>
      </c>
      <c r="C500" s="9" t="s">
        <v>1070</v>
      </c>
      <c r="D500" s="9" t="s">
        <v>1064</v>
      </c>
      <c r="E500" s="15">
        <v>46143</v>
      </c>
      <c r="F500" s="15">
        <v>46325</v>
      </c>
      <c r="G500" s="11">
        <v>1400</v>
      </c>
      <c r="H500" s="12">
        <v>1400</v>
      </c>
      <c r="I500" s="13">
        <v>1</v>
      </c>
      <c r="J500" s="12">
        <f t="shared" si="56"/>
        <v>1400</v>
      </c>
      <c r="K500" s="12">
        <f t="shared" si="57"/>
        <v>77</v>
      </c>
      <c r="L500" s="12">
        <f t="shared" si="58"/>
        <v>182</v>
      </c>
      <c r="M500" s="12">
        <f t="shared" si="59"/>
        <v>1582</v>
      </c>
      <c r="N500" s="12">
        <f t="shared" si="60"/>
        <v>1323</v>
      </c>
      <c r="O500" s="12">
        <v>122.28</v>
      </c>
      <c r="P500" s="12">
        <f t="shared" si="61"/>
        <v>199.28</v>
      </c>
      <c r="Q500" s="12">
        <f t="shared" si="62"/>
        <v>1200.72</v>
      </c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</row>
    <row r="501" spans="1:83" s="9" customFormat="1" x14ac:dyDescent="0.3">
      <c r="A501" s="9">
        <v>499</v>
      </c>
      <c r="B501" s="9" t="s">
        <v>1071</v>
      </c>
      <c r="C501" s="9" t="s">
        <v>1072</v>
      </c>
      <c r="D501" s="9" t="s">
        <v>1064</v>
      </c>
      <c r="E501" s="15">
        <v>46143</v>
      </c>
      <c r="F501" s="15">
        <v>46325</v>
      </c>
      <c r="G501" s="11">
        <v>1400</v>
      </c>
      <c r="H501" s="12">
        <v>1400</v>
      </c>
      <c r="I501" s="13">
        <v>1</v>
      </c>
      <c r="J501" s="12">
        <f t="shared" si="56"/>
        <v>1400</v>
      </c>
      <c r="K501" s="12">
        <f t="shared" si="57"/>
        <v>77</v>
      </c>
      <c r="L501" s="12">
        <f t="shared" si="58"/>
        <v>182</v>
      </c>
      <c r="M501" s="12">
        <f t="shared" si="59"/>
        <v>1582</v>
      </c>
      <c r="N501" s="12">
        <f t="shared" si="60"/>
        <v>1323</v>
      </c>
      <c r="O501" s="12">
        <v>122.28</v>
      </c>
      <c r="P501" s="12">
        <f t="shared" si="61"/>
        <v>199.28</v>
      </c>
      <c r="Q501" s="12">
        <f t="shared" si="62"/>
        <v>1200.72</v>
      </c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</row>
    <row r="502" spans="1:83" s="9" customFormat="1" x14ac:dyDescent="0.3">
      <c r="A502" s="9">
        <v>500</v>
      </c>
      <c r="B502" s="9" t="s">
        <v>1073</v>
      </c>
      <c r="C502" s="9" t="s">
        <v>1074</v>
      </c>
      <c r="D502" s="9" t="s">
        <v>1064</v>
      </c>
      <c r="E502" s="15">
        <v>46143</v>
      </c>
      <c r="F502" s="15">
        <v>46325</v>
      </c>
      <c r="G502" s="11">
        <v>1400</v>
      </c>
      <c r="H502" s="12">
        <v>1400</v>
      </c>
      <c r="I502" s="13">
        <v>1</v>
      </c>
      <c r="J502" s="12">
        <f t="shared" si="56"/>
        <v>1400</v>
      </c>
      <c r="K502" s="12">
        <f t="shared" si="57"/>
        <v>77</v>
      </c>
      <c r="L502" s="12">
        <f t="shared" si="58"/>
        <v>182</v>
      </c>
      <c r="M502" s="12">
        <f t="shared" si="59"/>
        <v>1582</v>
      </c>
      <c r="N502" s="12">
        <f t="shared" si="60"/>
        <v>1323</v>
      </c>
      <c r="O502" s="12">
        <v>122.28</v>
      </c>
      <c r="P502" s="12">
        <f t="shared" si="61"/>
        <v>199.28</v>
      </c>
      <c r="Q502" s="12">
        <f t="shared" si="62"/>
        <v>1200.72</v>
      </c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</row>
    <row r="503" spans="1:83" s="9" customFormat="1" x14ac:dyDescent="0.3">
      <c r="A503" s="9">
        <v>501</v>
      </c>
      <c r="B503" s="9" t="s">
        <v>1075</v>
      </c>
      <c r="C503" s="9" t="s">
        <v>1076</v>
      </c>
      <c r="D503" s="9" t="s">
        <v>796</v>
      </c>
      <c r="E503" s="10">
        <v>46143</v>
      </c>
      <c r="F503" s="10">
        <v>46325</v>
      </c>
      <c r="G503" s="11">
        <v>1400</v>
      </c>
      <c r="H503" s="12">
        <v>1400</v>
      </c>
      <c r="I503" s="13">
        <v>1</v>
      </c>
      <c r="J503" s="12">
        <f t="shared" si="56"/>
        <v>1400</v>
      </c>
      <c r="K503" s="12">
        <f t="shared" si="57"/>
        <v>77</v>
      </c>
      <c r="L503" s="12">
        <f t="shared" si="58"/>
        <v>182</v>
      </c>
      <c r="M503" s="12">
        <f t="shared" si="59"/>
        <v>1582</v>
      </c>
      <c r="N503" s="12">
        <f t="shared" si="60"/>
        <v>1323</v>
      </c>
      <c r="O503" s="12">
        <v>122.28</v>
      </c>
      <c r="P503" s="12">
        <f t="shared" si="61"/>
        <v>199.28</v>
      </c>
      <c r="Q503" s="12">
        <f t="shared" si="62"/>
        <v>1200.72</v>
      </c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</row>
    <row r="504" spans="1:83" s="9" customFormat="1" x14ac:dyDescent="0.3">
      <c r="A504" s="9">
        <v>502</v>
      </c>
      <c r="B504" s="9" t="s">
        <v>1077</v>
      </c>
      <c r="C504" s="9" t="s">
        <v>1078</v>
      </c>
      <c r="D504" s="9" t="s">
        <v>1027</v>
      </c>
      <c r="E504" s="15">
        <v>46143</v>
      </c>
      <c r="F504" s="15">
        <v>46325</v>
      </c>
      <c r="G504" s="11">
        <v>1400</v>
      </c>
      <c r="H504" s="12">
        <v>1400</v>
      </c>
      <c r="I504" s="13">
        <v>1</v>
      </c>
      <c r="J504" s="12">
        <f t="shared" si="56"/>
        <v>1400</v>
      </c>
      <c r="K504" s="12">
        <f t="shared" si="57"/>
        <v>77</v>
      </c>
      <c r="L504" s="12">
        <f t="shared" si="58"/>
        <v>182</v>
      </c>
      <c r="M504" s="12">
        <f t="shared" si="59"/>
        <v>1582</v>
      </c>
      <c r="N504" s="12">
        <f t="shared" si="60"/>
        <v>1323</v>
      </c>
      <c r="O504" s="12">
        <v>122.28</v>
      </c>
      <c r="P504" s="12">
        <f t="shared" si="61"/>
        <v>199.28</v>
      </c>
      <c r="Q504" s="12">
        <f t="shared" si="62"/>
        <v>1200.72</v>
      </c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</row>
    <row r="505" spans="1:83" s="9" customFormat="1" x14ac:dyDescent="0.3">
      <c r="A505" s="9">
        <v>503</v>
      </c>
      <c r="B505" s="9" t="s">
        <v>1079</v>
      </c>
      <c r="C505" s="9" t="s">
        <v>1080</v>
      </c>
      <c r="D505" s="9" t="s">
        <v>353</v>
      </c>
      <c r="E505" s="10">
        <v>46143</v>
      </c>
      <c r="F505" s="10">
        <v>46325</v>
      </c>
      <c r="G505" s="11">
        <v>1400</v>
      </c>
      <c r="H505" s="12">
        <v>1400</v>
      </c>
      <c r="I505" s="13">
        <v>1</v>
      </c>
      <c r="J505" s="12">
        <f t="shared" si="56"/>
        <v>1400</v>
      </c>
      <c r="K505" s="12">
        <f t="shared" si="57"/>
        <v>77</v>
      </c>
      <c r="L505" s="12">
        <f t="shared" si="58"/>
        <v>182</v>
      </c>
      <c r="M505" s="12">
        <f t="shared" si="59"/>
        <v>1582</v>
      </c>
      <c r="N505" s="12">
        <f t="shared" si="60"/>
        <v>1323</v>
      </c>
      <c r="O505" s="12">
        <v>122.28</v>
      </c>
      <c r="P505" s="12">
        <f t="shared" si="61"/>
        <v>199.28</v>
      </c>
      <c r="Q505" s="12">
        <f t="shared" si="62"/>
        <v>1200.72</v>
      </c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</row>
    <row r="506" spans="1:83" s="9" customFormat="1" x14ac:dyDescent="0.3">
      <c r="A506" s="9">
        <v>504</v>
      </c>
      <c r="B506" s="9" t="s">
        <v>1081</v>
      </c>
      <c r="C506" s="9" t="s">
        <v>1082</v>
      </c>
      <c r="D506" s="9" t="s">
        <v>353</v>
      </c>
      <c r="E506" s="10">
        <v>46143</v>
      </c>
      <c r="F506" s="10">
        <v>46325</v>
      </c>
      <c r="G506" s="11">
        <v>1400</v>
      </c>
      <c r="H506" s="12">
        <v>1400</v>
      </c>
      <c r="I506" s="13">
        <v>1</v>
      </c>
      <c r="J506" s="12">
        <f t="shared" si="56"/>
        <v>1400</v>
      </c>
      <c r="K506" s="12">
        <f t="shared" si="57"/>
        <v>77</v>
      </c>
      <c r="L506" s="12">
        <f t="shared" si="58"/>
        <v>182</v>
      </c>
      <c r="M506" s="12">
        <f t="shared" si="59"/>
        <v>1582</v>
      </c>
      <c r="N506" s="12">
        <f t="shared" si="60"/>
        <v>1323</v>
      </c>
      <c r="O506" s="12">
        <v>122.28</v>
      </c>
      <c r="P506" s="12">
        <f t="shared" si="61"/>
        <v>199.28</v>
      </c>
      <c r="Q506" s="12">
        <f t="shared" si="62"/>
        <v>1200.72</v>
      </c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</row>
    <row r="507" spans="1:83" s="9" customFormat="1" x14ac:dyDescent="0.3">
      <c r="A507" s="9">
        <v>505</v>
      </c>
      <c r="B507" s="9" t="s">
        <v>1083</v>
      </c>
      <c r="C507" s="17" t="s">
        <v>1084</v>
      </c>
      <c r="D507" s="9" t="s">
        <v>87</v>
      </c>
      <c r="E507" s="10">
        <v>46143</v>
      </c>
      <c r="F507" s="10">
        <v>46325</v>
      </c>
      <c r="G507" s="11">
        <v>1400</v>
      </c>
      <c r="H507" s="12">
        <v>1400</v>
      </c>
      <c r="I507" s="13">
        <v>1</v>
      </c>
      <c r="J507" s="12">
        <f t="shared" si="56"/>
        <v>1400</v>
      </c>
      <c r="K507" s="12">
        <f t="shared" si="57"/>
        <v>77</v>
      </c>
      <c r="L507" s="12">
        <f t="shared" si="58"/>
        <v>182</v>
      </c>
      <c r="M507" s="12">
        <f t="shared" si="59"/>
        <v>1582</v>
      </c>
      <c r="N507" s="12">
        <f t="shared" si="60"/>
        <v>1323</v>
      </c>
      <c r="O507" s="12">
        <v>122.28</v>
      </c>
      <c r="P507" s="12">
        <f t="shared" si="61"/>
        <v>199.28</v>
      </c>
      <c r="Q507" s="12">
        <f t="shared" si="62"/>
        <v>1200.72</v>
      </c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</row>
    <row r="508" spans="1:83" s="9" customFormat="1" x14ac:dyDescent="0.3">
      <c r="A508" s="9">
        <v>506</v>
      </c>
      <c r="B508" s="9" t="s">
        <v>1085</v>
      </c>
      <c r="C508" s="9" t="s">
        <v>1086</v>
      </c>
      <c r="D508" s="9" t="s">
        <v>42</v>
      </c>
      <c r="E508" s="10">
        <v>46143</v>
      </c>
      <c r="F508" s="10">
        <v>46325</v>
      </c>
      <c r="G508" s="11">
        <v>1400</v>
      </c>
      <c r="H508" s="12">
        <v>1400</v>
      </c>
      <c r="I508" s="13">
        <v>1</v>
      </c>
      <c r="J508" s="12">
        <f t="shared" si="56"/>
        <v>1400</v>
      </c>
      <c r="K508" s="12">
        <f t="shared" si="57"/>
        <v>77</v>
      </c>
      <c r="L508" s="12">
        <f t="shared" si="58"/>
        <v>182</v>
      </c>
      <c r="M508" s="12">
        <f t="shared" si="59"/>
        <v>1582</v>
      </c>
      <c r="N508" s="12">
        <f t="shared" si="60"/>
        <v>1323</v>
      </c>
      <c r="O508" s="12">
        <v>122.28</v>
      </c>
      <c r="P508" s="12">
        <f t="shared" si="61"/>
        <v>199.28</v>
      </c>
      <c r="Q508" s="12">
        <f t="shared" si="62"/>
        <v>1200.72</v>
      </c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</row>
    <row r="509" spans="1:83" s="9" customFormat="1" x14ac:dyDescent="0.3">
      <c r="A509" s="9">
        <v>507</v>
      </c>
      <c r="B509" s="9" t="s">
        <v>1087</v>
      </c>
      <c r="C509" s="9" t="s">
        <v>1088</v>
      </c>
      <c r="D509" s="9" t="s">
        <v>277</v>
      </c>
      <c r="E509" s="10">
        <v>46143</v>
      </c>
      <c r="F509" s="10">
        <v>46325</v>
      </c>
      <c r="G509" s="11">
        <v>1400</v>
      </c>
      <c r="H509" s="12">
        <v>1400</v>
      </c>
      <c r="I509" s="13">
        <v>1</v>
      </c>
      <c r="J509" s="12">
        <f t="shared" si="56"/>
        <v>1400</v>
      </c>
      <c r="K509" s="12">
        <f t="shared" si="57"/>
        <v>77</v>
      </c>
      <c r="L509" s="12">
        <f t="shared" si="58"/>
        <v>182</v>
      </c>
      <c r="M509" s="12">
        <f t="shared" si="59"/>
        <v>1582</v>
      </c>
      <c r="N509" s="12">
        <f t="shared" si="60"/>
        <v>1323</v>
      </c>
      <c r="O509" s="12">
        <v>122.28</v>
      </c>
      <c r="P509" s="12">
        <f t="shared" si="61"/>
        <v>199.28</v>
      </c>
      <c r="Q509" s="12">
        <f t="shared" si="62"/>
        <v>1200.72</v>
      </c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</row>
    <row r="510" spans="1:83" s="9" customFormat="1" x14ac:dyDescent="0.3">
      <c r="A510" s="9">
        <v>508</v>
      </c>
      <c r="B510" s="9" t="s">
        <v>1089</v>
      </c>
      <c r="C510" s="9" t="s">
        <v>1090</v>
      </c>
      <c r="D510" s="9" t="s">
        <v>277</v>
      </c>
      <c r="E510" s="10">
        <v>46143</v>
      </c>
      <c r="F510" s="10">
        <v>46325</v>
      </c>
      <c r="G510" s="11">
        <v>1400</v>
      </c>
      <c r="H510" s="12">
        <v>1400</v>
      </c>
      <c r="I510" s="13">
        <v>1</v>
      </c>
      <c r="J510" s="12">
        <f t="shared" si="56"/>
        <v>1400</v>
      </c>
      <c r="K510" s="12">
        <f t="shared" si="57"/>
        <v>77</v>
      </c>
      <c r="L510" s="12">
        <f t="shared" si="58"/>
        <v>182</v>
      </c>
      <c r="M510" s="12">
        <f t="shared" si="59"/>
        <v>1582</v>
      </c>
      <c r="N510" s="12">
        <f t="shared" si="60"/>
        <v>1323</v>
      </c>
      <c r="O510" s="12">
        <v>122.28</v>
      </c>
      <c r="P510" s="12">
        <f t="shared" si="61"/>
        <v>199.28</v>
      </c>
      <c r="Q510" s="12">
        <f t="shared" si="62"/>
        <v>1200.72</v>
      </c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</row>
    <row r="511" spans="1:83" s="9" customFormat="1" x14ac:dyDescent="0.3">
      <c r="A511" s="9">
        <v>509</v>
      </c>
      <c r="B511" s="9" t="s">
        <v>1091</v>
      </c>
      <c r="C511" s="9" t="s">
        <v>1092</v>
      </c>
      <c r="D511" s="9" t="s">
        <v>277</v>
      </c>
      <c r="E511" s="10">
        <v>46143</v>
      </c>
      <c r="F511" s="10">
        <v>46325</v>
      </c>
      <c r="G511" s="11">
        <v>1400</v>
      </c>
      <c r="H511" s="12">
        <v>1400</v>
      </c>
      <c r="I511" s="13">
        <v>1</v>
      </c>
      <c r="J511" s="12">
        <f t="shared" si="56"/>
        <v>1400</v>
      </c>
      <c r="K511" s="12">
        <f t="shared" si="57"/>
        <v>77</v>
      </c>
      <c r="L511" s="12">
        <f t="shared" si="58"/>
        <v>182</v>
      </c>
      <c r="M511" s="12">
        <f t="shared" si="59"/>
        <v>1582</v>
      </c>
      <c r="N511" s="12">
        <f t="shared" si="60"/>
        <v>1323</v>
      </c>
      <c r="O511" s="12">
        <v>122.28</v>
      </c>
      <c r="P511" s="12">
        <f t="shared" si="61"/>
        <v>199.28</v>
      </c>
      <c r="Q511" s="12">
        <f t="shared" si="62"/>
        <v>1200.72</v>
      </c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</row>
    <row r="512" spans="1:83" s="9" customFormat="1" x14ac:dyDescent="0.3">
      <c r="A512" s="9">
        <v>510</v>
      </c>
      <c r="B512" s="9" t="s">
        <v>1093</v>
      </c>
      <c r="C512" s="9" t="s">
        <v>1094</v>
      </c>
      <c r="D512" s="9" t="s">
        <v>277</v>
      </c>
      <c r="E512" s="10">
        <v>46143</v>
      </c>
      <c r="F512" s="10">
        <v>46325</v>
      </c>
      <c r="G512" s="11">
        <v>1400</v>
      </c>
      <c r="H512" s="12">
        <v>1400</v>
      </c>
      <c r="I512" s="13">
        <v>1</v>
      </c>
      <c r="J512" s="12">
        <f t="shared" si="56"/>
        <v>1400</v>
      </c>
      <c r="K512" s="12">
        <f t="shared" si="57"/>
        <v>77</v>
      </c>
      <c r="L512" s="12">
        <f t="shared" si="58"/>
        <v>182</v>
      </c>
      <c r="M512" s="12">
        <f t="shared" si="59"/>
        <v>1582</v>
      </c>
      <c r="N512" s="12">
        <f t="shared" si="60"/>
        <v>1323</v>
      </c>
      <c r="O512" s="12">
        <v>122.28</v>
      </c>
      <c r="P512" s="12">
        <f t="shared" si="61"/>
        <v>199.28</v>
      </c>
      <c r="Q512" s="12">
        <f t="shared" si="62"/>
        <v>1200.72</v>
      </c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</row>
    <row r="513" spans="1:83" s="9" customFormat="1" x14ac:dyDescent="0.3">
      <c r="A513" s="9">
        <v>511</v>
      </c>
      <c r="B513" s="9" t="s">
        <v>1095</v>
      </c>
      <c r="C513" s="9" t="s">
        <v>1096</v>
      </c>
      <c r="D513" s="9" t="s">
        <v>277</v>
      </c>
      <c r="E513" s="10">
        <v>46143</v>
      </c>
      <c r="F513" s="10">
        <v>46325</v>
      </c>
      <c r="G513" s="11">
        <v>1400</v>
      </c>
      <c r="H513" s="12">
        <v>1400</v>
      </c>
      <c r="I513" s="13">
        <v>1</v>
      </c>
      <c r="J513" s="12">
        <f t="shared" si="56"/>
        <v>1400</v>
      </c>
      <c r="K513" s="12">
        <f t="shared" si="57"/>
        <v>77</v>
      </c>
      <c r="L513" s="12">
        <f t="shared" si="58"/>
        <v>182</v>
      </c>
      <c r="M513" s="12">
        <f t="shared" si="59"/>
        <v>1582</v>
      </c>
      <c r="N513" s="12">
        <f t="shared" si="60"/>
        <v>1323</v>
      </c>
      <c r="O513" s="12">
        <v>122.28</v>
      </c>
      <c r="P513" s="12">
        <f t="shared" si="61"/>
        <v>199.28</v>
      </c>
      <c r="Q513" s="12">
        <f t="shared" si="62"/>
        <v>1200.72</v>
      </c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</row>
    <row r="514" spans="1:83" s="16" customFormat="1" x14ac:dyDescent="0.3">
      <c r="A514" s="9">
        <v>512</v>
      </c>
      <c r="B514" s="9" t="s">
        <v>1097</v>
      </c>
      <c r="C514" s="9" t="s">
        <v>1098</v>
      </c>
      <c r="D514" s="9" t="s">
        <v>277</v>
      </c>
      <c r="E514" s="10">
        <v>46143</v>
      </c>
      <c r="F514" s="10">
        <v>46325</v>
      </c>
      <c r="G514" s="11">
        <v>1400</v>
      </c>
      <c r="H514" s="12">
        <v>1400</v>
      </c>
      <c r="I514" s="13">
        <v>1</v>
      </c>
      <c r="J514" s="12">
        <f t="shared" si="56"/>
        <v>1400</v>
      </c>
      <c r="K514" s="12">
        <f t="shared" si="57"/>
        <v>77</v>
      </c>
      <c r="L514" s="12">
        <f t="shared" si="58"/>
        <v>182</v>
      </c>
      <c r="M514" s="12">
        <f t="shared" si="59"/>
        <v>1582</v>
      </c>
      <c r="N514" s="12">
        <f t="shared" si="60"/>
        <v>1323</v>
      </c>
      <c r="O514" s="12">
        <v>122.28</v>
      </c>
      <c r="P514" s="12">
        <f t="shared" si="61"/>
        <v>199.28</v>
      </c>
      <c r="Q514" s="12">
        <f t="shared" si="62"/>
        <v>1200.72</v>
      </c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</row>
    <row r="515" spans="1:83" s="16" customFormat="1" x14ac:dyDescent="0.3">
      <c r="A515" s="9">
        <v>513</v>
      </c>
      <c r="B515" s="9" t="s">
        <v>1099</v>
      </c>
      <c r="C515" s="9" t="s">
        <v>1100</v>
      </c>
      <c r="D515" s="9" t="s">
        <v>277</v>
      </c>
      <c r="E515" s="10">
        <v>46143</v>
      </c>
      <c r="F515" s="10">
        <v>46325</v>
      </c>
      <c r="G515" s="11">
        <v>1400</v>
      </c>
      <c r="H515" s="12">
        <v>1400</v>
      </c>
      <c r="I515" s="13">
        <v>1</v>
      </c>
      <c r="J515" s="12">
        <f t="shared" si="56"/>
        <v>1400</v>
      </c>
      <c r="K515" s="12">
        <f t="shared" si="57"/>
        <v>77</v>
      </c>
      <c r="L515" s="12">
        <f t="shared" si="58"/>
        <v>182</v>
      </c>
      <c r="M515" s="12">
        <f t="shared" si="59"/>
        <v>1582</v>
      </c>
      <c r="N515" s="12">
        <f t="shared" si="60"/>
        <v>1323</v>
      </c>
      <c r="O515" s="12">
        <v>122.28</v>
      </c>
      <c r="P515" s="12">
        <f t="shared" si="61"/>
        <v>199.28</v>
      </c>
      <c r="Q515" s="12">
        <f t="shared" si="62"/>
        <v>1200.72</v>
      </c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</row>
    <row r="516" spans="1:83" s="9" customFormat="1" x14ac:dyDescent="0.3">
      <c r="A516" s="9">
        <v>514</v>
      </c>
      <c r="B516" s="9" t="s">
        <v>1101</v>
      </c>
      <c r="C516" s="9" t="s">
        <v>1102</v>
      </c>
      <c r="D516" s="9" t="s">
        <v>277</v>
      </c>
      <c r="E516" s="10">
        <v>46143</v>
      </c>
      <c r="F516" s="10">
        <v>46325</v>
      </c>
      <c r="G516" s="11">
        <v>1400</v>
      </c>
      <c r="H516" s="12">
        <v>1400</v>
      </c>
      <c r="I516" s="13">
        <v>1</v>
      </c>
      <c r="J516" s="12">
        <f t="shared" si="56"/>
        <v>1400</v>
      </c>
      <c r="K516" s="12">
        <f t="shared" si="57"/>
        <v>77</v>
      </c>
      <c r="L516" s="12">
        <f t="shared" si="58"/>
        <v>182</v>
      </c>
      <c r="M516" s="12">
        <f t="shared" si="59"/>
        <v>1582</v>
      </c>
      <c r="N516" s="12">
        <f t="shared" si="60"/>
        <v>1323</v>
      </c>
      <c r="O516" s="12">
        <v>122.28</v>
      </c>
      <c r="P516" s="12">
        <f t="shared" si="61"/>
        <v>199.28</v>
      </c>
      <c r="Q516" s="12">
        <f t="shared" si="62"/>
        <v>1200.72</v>
      </c>
    </row>
    <row r="517" spans="1:83" s="18" customFormat="1" x14ac:dyDescent="0.3">
      <c r="A517" s="9">
        <v>515</v>
      </c>
      <c r="B517" s="9" t="s">
        <v>1103</v>
      </c>
      <c r="C517" s="9" t="s">
        <v>1104</v>
      </c>
      <c r="D517" s="9" t="s">
        <v>277</v>
      </c>
      <c r="E517" s="10">
        <v>46143</v>
      </c>
      <c r="F517" s="10">
        <v>46325</v>
      </c>
      <c r="G517" s="11">
        <v>1400</v>
      </c>
      <c r="H517" s="12">
        <v>1400</v>
      </c>
      <c r="I517" s="13">
        <v>1</v>
      </c>
      <c r="J517" s="12">
        <f t="shared" si="56"/>
        <v>1400</v>
      </c>
      <c r="K517" s="12">
        <f t="shared" si="57"/>
        <v>77</v>
      </c>
      <c r="L517" s="12">
        <f t="shared" si="58"/>
        <v>182</v>
      </c>
      <c r="M517" s="12">
        <f t="shared" si="59"/>
        <v>1582</v>
      </c>
      <c r="N517" s="12">
        <f t="shared" si="60"/>
        <v>1323</v>
      </c>
      <c r="O517" s="12">
        <v>122.28</v>
      </c>
      <c r="P517" s="12">
        <f t="shared" si="61"/>
        <v>199.28</v>
      </c>
      <c r="Q517" s="12">
        <f t="shared" si="62"/>
        <v>1200.72</v>
      </c>
    </row>
    <row r="518" spans="1:83" s="9" customFormat="1" x14ac:dyDescent="0.3">
      <c r="A518" s="9">
        <v>516</v>
      </c>
      <c r="B518" s="9" t="s">
        <v>1105</v>
      </c>
      <c r="C518" s="9" t="s">
        <v>1106</v>
      </c>
      <c r="D518" s="9" t="s">
        <v>277</v>
      </c>
      <c r="E518" s="10">
        <v>46143</v>
      </c>
      <c r="F518" s="10">
        <v>46325</v>
      </c>
      <c r="G518" s="11">
        <v>1400</v>
      </c>
      <c r="H518" s="12">
        <v>1400</v>
      </c>
      <c r="I518" s="13">
        <v>1</v>
      </c>
      <c r="J518" s="12">
        <f t="shared" si="56"/>
        <v>1400</v>
      </c>
      <c r="K518" s="12">
        <f t="shared" si="57"/>
        <v>77</v>
      </c>
      <c r="L518" s="12">
        <f t="shared" si="58"/>
        <v>182</v>
      </c>
      <c r="M518" s="12">
        <f t="shared" si="59"/>
        <v>1582</v>
      </c>
      <c r="N518" s="12">
        <f t="shared" si="60"/>
        <v>1323</v>
      </c>
      <c r="O518" s="12">
        <v>122.28</v>
      </c>
      <c r="P518" s="12">
        <f t="shared" si="61"/>
        <v>199.28</v>
      </c>
      <c r="Q518" s="12">
        <f t="shared" si="62"/>
        <v>1200.72</v>
      </c>
    </row>
    <row r="519" spans="1:83" s="9" customFormat="1" x14ac:dyDescent="0.3">
      <c r="A519" s="9">
        <v>517</v>
      </c>
      <c r="B519" s="9" t="s">
        <v>1107</v>
      </c>
      <c r="C519" s="9" t="s">
        <v>1108</v>
      </c>
      <c r="D519" s="9" t="s">
        <v>277</v>
      </c>
      <c r="E519" s="10">
        <v>46143</v>
      </c>
      <c r="F519" s="10">
        <v>46325</v>
      </c>
      <c r="G519" s="11">
        <v>1400</v>
      </c>
      <c r="H519" s="12">
        <v>1400</v>
      </c>
      <c r="I519" s="13">
        <v>1</v>
      </c>
      <c r="J519" s="12">
        <f t="shared" si="56"/>
        <v>1400</v>
      </c>
      <c r="K519" s="12">
        <f t="shared" si="57"/>
        <v>77</v>
      </c>
      <c r="L519" s="12">
        <f t="shared" si="58"/>
        <v>182</v>
      </c>
      <c r="M519" s="12">
        <f t="shared" si="59"/>
        <v>1582</v>
      </c>
      <c r="N519" s="12">
        <f t="shared" si="60"/>
        <v>1323</v>
      </c>
      <c r="O519" s="12">
        <v>122.28</v>
      </c>
      <c r="P519" s="12">
        <f t="shared" si="61"/>
        <v>199.28</v>
      </c>
      <c r="Q519" s="12">
        <f t="shared" si="62"/>
        <v>1200.72</v>
      </c>
    </row>
    <row r="520" spans="1:83" s="9" customFormat="1" x14ac:dyDescent="0.3">
      <c r="A520" s="9">
        <v>518</v>
      </c>
      <c r="B520" s="9" t="s">
        <v>1109</v>
      </c>
      <c r="C520" s="9" t="s">
        <v>1110</v>
      </c>
      <c r="D520" s="9" t="s">
        <v>277</v>
      </c>
      <c r="E520" s="10">
        <v>46143</v>
      </c>
      <c r="F520" s="10">
        <v>46325</v>
      </c>
      <c r="G520" s="11">
        <v>1400</v>
      </c>
      <c r="H520" s="12">
        <v>1400</v>
      </c>
      <c r="I520" s="13">
        <v>1</v>
      </c>
      <c r="J520" s="12">
        <f t="shared" si="56"/>
        <v>1400</v>
      </c>
      <c r="K520" s="12">
        <f t="shared" si="57"/>
        <v>77</v>
      </c>
      <c r="L520" s="12">
        <f t="shared" si="58"/>
        <v>182</v>
      </c>
      <c r="M520" s="12">
        <f t="shared" si="59"/>
        <v>1582</v>
      </c>
      <c r="N520" s="12">
        <f t="shared" si="60"/>
        <v>1323</v>
      </c>
      <c r="O520" s="12">
        <v>122.28</v>
      </c>
      <c r="P520" s="12">
        <f t="shared" si="61"/>
        <v>199.28</v>
      </c>
      <c r="Q520" s="12">
        <f t="shared" si="62"/>
        <v>1200.72</v>
      </c>
    </row>
    <row r="521" spans="1:83" s="9" customFormat="1" ht="21" customHeight="1" x14ac:dyDescent="0.3">
      <c r="A521" s="9">
        <v>519</v>
      </c>
      <c r="B521" s="9" t="s">
        <v>1111</v>
      </c>
      <c r="C521" s="9" t="s">
        <v>1112</v>
      </c>
      <c r="D521" s="9" t="s">
        <v>277</v>
      </c>
      <c r="E521" s="10">
        <v>46143</v>
      </c>
      <c r="F521" s="10">
        <v>46325</v>
      </c>
      <c r="G521" s="11">
        <v>1400</v>
      </c>
      <c r="H521" s="12">
        <v>1400</v>
      </c>
      <c r="I521" s="13">
        <v>1</v>
      </c>
      <c r="J521" s="12">
        <f t="shared" si="56"/>
        <v>1400</v>
      </c>
      <c r="K521" s="12">
        <f t="shared" si="57"/>
        <v>77</v>
      </c>
      <c r="L521" s="12">
        <f t="shared" si="58"/>
        <v>182</v>
      </c>
      <c r="M521" s="12">
        <f t="shared" si="59"/>
        <v>1582</v>
      </c>
      <c r="N521" s="12">
        <f t="shared" si="60"/>
        <v>1323</v>
      </c>
      <c r="O521" s="12">
        <v>122.28</v>
      </c>
      <c r="P521" s="12">
        <f t="shared" si="61"/>
        <v>199.28</v>
      </c>
      <c r="Q521" s="12">
        <f t="shared" si="62"/>
        <v>1200.72</v>
      </c>
    </row>
    <row r="522" spans="1:83" s="9" customFormat="1" ht="20.25" customHeight="1" x14ac:dyDescent="0.3">
      <c r="A522" s="9">
        <v>520</v>
      </c>
      <c r="B522" s="9" t="s">
        <v>1113</v>
      </c>
      <c r="C522" s="9" t="s">
        <v>1114</v>
      </c>
      <c r="D522" s="9" t="s">
        <v>307</v>
      </c>
      <c r="E522" s="10">
        <v>46083</v>
      </c>
      <c r="F522" s="10">
        <v>46262</v>
      </c>
      <c r="G522" s="11">
        <v>1400</v>
      </c>
      <c r="H522" s="12">
        <v>1400</v>
      </c>
      <c r="I522" s="13">
        <v>1</v>
      </c>
      <c r="J522" s="12">
        <f t="shared" si="56"/>
        <v>1400</v>
      </c>
      <c r="K522" s="12">
        <f t="shared" si="57"/>
        <v>77</v>
      </c>
      <c r="L522" s="12">
        <f t="shared" si="58"/>
        <v>182</v>
      </c>
      <c r="M522" s="12">
        <f t="shared" si="59"/>
        <v>1582</v>
      </c>
      <c r="N522" s="12">
        <f t="shared" si="60"/>
        <v>1323</v>
      </c>
      <c r="O522" s="12">
        <v>122.28</v>
      </c>
      <c r="P522" s="12">
        <f t="shared" si="61"/>
        <v>199.28</v>
      </c>
      <c r="Q522" s="12">
        <f t="shared" si="62"/>
        <v>1200.72</v>
      </c>
    </row>
    <row r="523" spans="1:83" s="9" customFormat="1" ht="36.75" customHeight="1" x14ac:dyDescent="0.3">
      <c r="A523" s="9">
        <v>521</v>
      </c>
      <c r="B523" s="9" t="s">
        <v>1115</v>
      </c>
      <c r="C523" s="9" t="s">
        <v>1116</v>
      </c>
      <c r="D523" s="9" t="s">
        <v>493</v>
      </c>
      <c r="E523" s="10">
        <v>46143</v>
      </c>
      <c r="F523" s="10">
        <v>46325</v>
      </c>
      <c r="G523" s="11">
        <v>1400</v>
      </c>
      <c r="H523" s="12">
        <v>1400</v>
      </c>
      <c r="I523" s="13">
        <v>1</v>
      </c>
      <c r="J523" s="12">
        <f t="shared" si="56"/>
        <v>1400</v>
      </c>
      <c r="K523" s="12">
        <f t="shared" si="57"/>
        <v>77</v>
      </c>
      <c r="L523" s="12">
        <f t="shared" si="58"/>
        <v>182</v>
      </c>
      <c r="M523" s="12">
        <f t="shared" si="59"/>
        <v>1582</v>
      </c>
      <c r="N523" s="12">
        <f t="shared" si="60"/>
        <v>1323</v>
      </c>
      <c r="O523" s="12">
        <v>122.28</v>
      </c>
      <c r="P523" s="12">
        <f t="shared" si="61"/>
        <v>199.28</v>
      </c>
      <c r="Q523" s="12">
        <f t="shared" si="62"/>
        <v>1200.72</v>
      </c>
    </row>
    <row r="524" spans="1:83" s="9" customFormat="1" ht="36.75" customHeight="1" x14ac:dyDescent="0.3">
      <c r="A524" s="9">
        <v>522</v>
      </c>
      <c r="B524" s="9" t="s">
        <v>1117</v>
      </c>
      <c r="C524" s="9" t="s">
        <v>1118</v>
      </c>
      <c r="D524" s="9" t="s">
        <v>277</v>
      </c>
      <c r="E524" s="10">
        <v>46143</v>
      </c>
      <c r="F524" s="10">
        <v>46325</v>
      </c>
      <c r="G524" s="11">
        <v>1400</v>
      </c>
      <c r="H524" s="12">
        <v>1400</v>
      </c>
      <c r="I524" s="13">
        <v>1</v>
      </c>
      <c r="J524" s="12">
        <f t="shared" si="56"/>
        <v>1400</v>
      </c>
      <c r="K524" s="12">
        <f t="shared" si="57"/>
        <v>77</v>
      </c>
      <c r="L524" s="12">
        <f t="shared" si="58"/>
        <v>182</v>
      </c>
      <c r="M524" s="12">
        <f t="shared" si="59"/>
        <v>1582</v>
      </c>
      <c r="N524" s="12">
        <f t="shared" si="60"/>
        <v>1323</v>
      </c>
      <c r="O524" s="12">
        <v>122.28</v>
      </c>
      <c r="P524" s="12">
        <f t="shared" si="61"/>
        <v>199.28</v>
      </c>
      <c r="Q524" s="12">
        <f t="shared" si="62"/>
        <v>1200.72</v>
      </c>
    </row>
    <row r="525" spans="1:83" s="9" customFormat="1" ht="36.75" customHeight="1" x14ac:dyDescent="0.3">
      <c r="A525" s="9">
        <v>523</v>
      </c>
      <c r="B525" s="9" t="s">
        <v>1119</v>
      </c>
      <c r="C525" s="9" t="s">
        <v>1120</v>
      </c>
      <c r="D525" s="9" t="s">
        <v>277</v>
      </c>
      <c r="E525" s="10">
        <v>46143</v>
      </c>
      <c r="F525" s="10">
        <v>46325</v>
      </c>
      <c r="G525" s="11">
        <v>1400</v>
      </c>
      <c r="H525" s="12">
        <v>1400</v>
      </c>
      <c r="I525" s="13">
        <v>1</v>
      </c>
      <c r="J525" s="12">
        <f t="shared" si="56"/>
        <v>1400</v>
      </c>
      <c r="K525" s="12">
        <f t="shared" si="57"/>
        <v>77</v>
      </c>
      <c r="L525" s="12">
        <f t="shared" si="58"/>
        <v>182</v>
      </c>
      <c r="M525" s="12">
        <f t="shared" si="59"/>
        <v>1582</v>
      </c>
      <c r="N525" s="12">
        <f t="shared" si="60"/>
        <v>1323</v>
      </c>
      <c r="O525" s="12">
        <v>122.28</v>
      </c>
      <c r="P525" s="12">
        <f t="shared" si="61"/>
        <v>199.28</v>
      </c>
      <c r="Q525" s="12">
        <f t="shared" si="62"/>
        <v>1200.72</v>
      </c>
    </row>
    <row r="526" spans="1:83" s="9" customFormat="1" ht="36.75" customHeight="1" x14ac:dyDescent="0.3">
      <c r="A526" s="9">
        <v>524</v>
      </c>
      <c r="B526" s="9" t="s">
        <v>1121</v>
      </c>
      <c r="C526" s="9" t="s">
        <v>1122</v>
      </c>
      <c r="D526" s="9" t="s">
        <v>277</v>
      </c>
      <c r="E526" s="10">
        <v>46143</v>
      </c>
      <c r="F526" s="10">
        <v>46325</v>
      </c>
      <c r="G526" s="11">
        <v>1400</v>
      </c>
      <c r="H526" s="12">
        <v>1400</v>
      </c>
      <c r="I526" s="13">
        <v>1</v>
      </c>
      <c r="J526" s="12">
        <f t="shared" si="56"/>
        <v>1400</v>
      </c>
      <c r="K526" s="12">
        <f t="shared" si="57"/>
        <v>77</v>
      </c>
      <c r="L526" s="12">
        <f t="shared" si="58"/>
        <v>182</v>
      </c>
      <c r="M526" s="12">
        <f t="shared" si="59"/>
        <v>1582</v>
      </c>
      <c r="N526" s="12">
        <f t="shared" si="60"/>
        <v>1323</v>
      </c>
      <c r="O526" s="12">
        <v>122.28</v>
      </c>
      <c r="P526" s="12">
        <f t="shared" si="61"/>
        <v>199.28</v>
      </c>
      <c r="Q526" s="12">
        <f t="shared" si="62"/>
        <v>1200.72</v>
      </c>
    </row>
    <row r="527" spans="1:83" s="9" customFormat="1" ht="36.75" customHeight="1" x14ac:dyDescent="0.3">
      <c r="A527" s="9">
        <v>525</v>
      </c>
      <c r="B527" s="9" t="s">
        <v>1123</v>
      </c>
      <c r="C527" s="9" t="s">
        <v>1124</v>
      </c>
      <c r="D527" s="9" t="s">
        <v>1125</v>
      </c>
      <c r="E527" s="15">
        <v>46174</v>
      </c>
      <c r="F527" s="15">
        <v>46356</v>
      </c>
      <c r="G527" s="11">
        <v>1400</v>
      </c>
      <c r="H527" s="12">
        <v>1400</v>
      </c>
      <c r="I527" s="13">
        <v>1</v>
      </c>
      <c r="J527" s="12">
        <v>1400</v>
      </c>
      <c r="K527" s="12">
        <v>77</v>
      </c>
      <c r="L527" s="12">
        <v>182</v>
      </c>
      <c r="M527" s="12">
        <v>1582</v>
      </c>
      <c r="N527" s="12">
        <v>1323</v>
      </c>
      <c r="O527" s="12">
        <v>122.28</v>
      </c>
      <c r="P527" s="12">
        <v>199.28</v>
      </c>
      <c r="Q527" s="12">
        <v>1200.72</v>
      </c>
    </row>
    <row r="528" spans="1:83" s="9" customFormat="1" ht="36.75" customHeight="1" x14ac:dyDescent="0.3">
      <c r="A528" s="9">
        <v>526</v>
      </c>
      <c r="B528" s="9" t="s">
        <v>1126</v>
      </c>
      <c r="C528" s="9" t="s">
        <v>1127</v>
      </c>
      <c r="D528" s="9" t="s">
        <v>1125</v>
      </c>
      <c r="E528" s="15">
        <v>46174</v>
      </c>
      <c r="F528" s="15">
        <v>46356</v>
      </c>
      <c r="G528" s="11">
        <v>1400</v>
      </c>
      <c r="H528" s="12">
        <v>1400</v>
      </c>
      <c r="I528" s="13">
        <v>1</v>
      </c>
      <c r="J528" s="12">
        <v>1400</v>
      </c>
      <c r="K528" s="12">
        <v>77</v>
      </c>
      <c r="L528" s="12">
        <v>182</v>
      </c>
      <c r="M528" s="12">
        <v>1582</v>
      </c>
      <c r="N528" s="12">
        <v>1323</v>
      </c>
      <c r="O528" s="12">
        <v>122.28</v>
      </c>
      <c r="P528" s="12">
        <v>199.28</v>
      </c>
      <c r="Q528" s="12">
        <v>1200.72</v>
      </c>
    </row>
    <row r="529" spans="1:83" s="9" customFormat="1" ht="36.75" customHeight="1" x14ac:dyDescent="0.3">
      <c r="A529" s="9">
        <v>527</v>
      </c>
      <c r="B529" s="9" t="s">
        <v>1128</v>
      </c>
      <c r="C529" s="9" t="s">
        <v>1129</v>
      </c>
      <c r="D529" s="9" t="s">
        <v>1125</v>
      </c>
      <c r="E529" s="15">
        <v>46174</v>
      </c>
      <c r="F529" s="15">
        <v>46356</v>
      </c>
      <c r="G529" s="11">
        <v>1400</v>
      </c>
      <c r="H529" s="12">
        <v>1400</v>
      </c>
      <c r="I529" s="13">
        <v>1</v>
      </c>
      <c r="J529" s="12">
        <v>1400</v>
      </c>
      <c r="K529" s="12">
        <v>77</v>
      </c>
      <c r="L529" s="12">
        <v>182</v>
      </c>
      <c r="M529" s="12">
        <v>1582</v>
      </c>
      <c r="N529" s="12">
        <v>1323</v>
      </c>
      <c r="O529" s="12">
        <v>122.28</v>
      </c>
      <c r="P529" s="12">
        <v>199.28</v>
      </c>
      <c r="Q529" s="12">
        <v>1200.72</v>
      </c>
    </row>
    <row r="530" spans="1:83" s="9" customFormat="1" ht="36.75" customHeight="1" x14ac:dyDescent="0.3">
      <c r="A530" s="9">
        <v>528</v>
      </c>
      <c r="B530" s="9" t="s">
        <v>1130</v>
      </c>
      <c r="C530" s="9" t="s">
        <v>1131</v>
      </c>
      <c r="D530" s="9" t="s">
        <v>1125</v>
      </c>
      <c r="E530" s="15">
        <v>46174</v>
      </c>
      <c r="F530" s="15">
        <v>46356</v>
      </c>
      <c r="G530" s="11">
        <v>1400</v>
      </c>
      <c r="H530" s="12">
        <v>1400</v>
      </c>
      <c r="I530" s="13">
        <v>1</v>
      </c>
      <c r="J530" s="12">
        <v>1400</v>
      </c>
      <c r="K530" s="12">
        <v>77</v>
      </c>
      <c r="L530" s="12">
        <v>182</v>
      </c>
      <c r="M530" s="12">
        <v>1582</v>
      </c>
      <c r="N530" s="12">
        <v>1323</v>
      </c>
      <c r="O530" s="12">
        <v>122.28</v>
      </c>
      <c r="P530" s="12">
        <v>199.28</v>
      </c>
      <c r="Q530" s="12">
        <v>1200.72</v>
      </c>
    </row>
    <row r="531" spans="1:83" s="9" customFormat="1" ht="36.75" customHeight="1" x14ac:dyDescent="0.3">
      <c r="A531" s="9">
        <v>529</v>
      </c>
      <c r="B531" s="9" t="s">
        <v>1132</v>
      </c>
      <c r="C531" s="9" t="s">
        <v>1133</v>
      </c>
      <c r="D531" s="9" t="s">
        <v>1125</v>
      </c>
      <c r="E531" s="15">
        <v>46174</v>
      </c>
      <c r="F531" s="15">
        <v>46356</v>
      </c>
      <c r="G531" s="11">
        <v>1400</v>
      </c>
      <c r="H531" s="12">
        <v>1400</v>
      </c>
      <c r="I531" s="13">
        <v>1</v>
      </c>
      <c r="J531" s="12">
        <v>1400</v>
      </c>
      <c r="K531" s="12">
        <v>77</v>
      </c>
      <c r="L531" s="12">
        <v>182</v>
      </c>
      <c r="M531" s="12">
        <v>1582</v>
      </c>
      <c r="N531" s="12">
        <v>1323</v>
      </c>
      <c r="O531" s="12">
        <v>122.28</v>
      </c>
      <c r="P531" s="12">
        <v>199.28</v>
      </c>
      <c r="Q531" s="12">
        <v>1200.72</v>
      </c>
    </row>
    <row r="532" spans="1:83" s="19" customFormat="1" x14ac:dyDescent="0.3">
      <c r="A532" s="9">
        <v>530</v>
      </c>
      <c r="B532" s="9" t="s">
        <v>1134</v>
      </c>
      <c r="C532" s="9" t="s">
        <v>1135</v>
      </c>
      <c r="D532" s="9" t="s">
        <v>1125</v>
      </c>
      <c r="E532" s="15">
        <v>46174</v>
      </c>
      <c r="F532" s="15">
        <v>46356</v>
      </c>
      <c r="G532" s="11">
        <v>1400</v>
      </c>
      <c r="H532" s="12">
        <v>1400</v>
      </c>
      <c r="I532" s="13">
        <v>1</v>
      </c>
      <c r="J532" s="12">
        <v>1400</v>
      </c>
      <c r="K532" s="12">
        <v>77</v>
      </c>
      <c r="L532" s="12">
        <v>182</v>
      </c>
      <c r="M532" s="12">
        <v>1582</v>
      </c>
      <c r="N532" s="12">
        <v>1323</v>
      </c>
      <c r="O532" s="12">
        <v>122.28</v>
      </c>
      <c r="P532" s="12">
        <v>199.28</v>
      </c>
      <c r="Q532" s="12">
        <v>1200.72</v>
      </c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</row>
    <row r="533" spans="1:83" s="9" customFormat="1" x14ac:dyDescent="0.3">
      <c r="A533" s="9">
        <v>531</v>
      </c>
      <c r="B533" s="9" t="s">
        <v>1136</v>
      </c>
      <c r="C533" s="9" t="s">
        <v>1137</v>
      </c>
      <c r="D533" s="9" t="s">
        <v>1125</v>
      </c>
      <c r="E533" s="15">
        <v>46174</v>
      </c>
      <c r="F533" s="15">
        <v>46356</v>
      </c>
      <c r="G533" s="11">
        <v>1400</v>
      </c>
      <c r="H533" s="12">
        <v>1400</v>
      </c>
      <c r="I533" s="13">
        <v>1</v>
      </c>
      <c r="J533" s="12">
        <v>1400</v>
      </c>
      <c r="K533" s="12">
        <v>77</v>
      </c>
      <c r="L533" s="12">
        <v>182</v>
      </c>
      <c r="M533" s="12">
        <v>1582</v>
      </c>
      <c r="N533" s="12">
        <v>1323</v>
      </c>
      <c r="O533" s="12">
        <v>122.28</v>
      </c>
      <c r="P533" s="12">
        <v>199.28</v>
      </c>
      <c r="Q533" s="12">
        <v>1200.72</v>
      </c>
    </row>
    <row r="534" spans="1:83" s="9" customFormat="1" x14ac:dyDescent="0.3">
      <c r="A534" s="9">
        <v>532</v>
      </c>
      <c r="B534" s="9" t="s">
        <v>1138</v>
      </c>
      <c r="C534" s="9" t="s">
        <v>1139</v>
      </c>
      <c r="D534" s="9" t="s">
        <v>1125</v>
      </c>
      <c r="E534" s="15">
        <v>46174</v>
      </c>
      <c r="F534" s="15">
        <v>46356</v>
      </c>
      <c r="G534" s="11">
        <v>1400</v>
      </c>
      <c r="H534" s="12">
        <v>1400</v>
      </c>
      <c r="I534" s="13">
        <v>1</v>
      </c>
      <c r="J534" s="12">
        <v>1400</v>
      </c>
      <c r="K534" s="12">
        <v>77</v>
      </c>
      <c r="L534" s="12">
        <v>182</v>
      </c>
      <c r="M534" s="12">
        <v>1582</v>
      </c>
      <c r="N534" s="12">
        <v>1323</v>
      </c>
      <c r="O534" s="12">
        <v>122.28</v>
      </c>
      <c r="P534" s="12">
        <v>199.28</v>
      </c>
      <c r="Q534" s="12">
        <v>1200.72</v>
      </c>
    </row>
    <row r="535" spans="1:83" s="9" customFormat="1" x14ac:dyDescent="0.3">
      <c r="A535" s="9">
        <v>533</v>
      </c>
      <c r="B535" s="9" t="s">
        <v>1140</v>
      </c>
      <c r="C535" s="9" t="s">
        <v>1141</v>
      </c>
      <c r="D535" s="9" t="s">
        <v>1125</v>
      </c>
      <c r="E535" s="15">
        <v>46174</v>
      </c>
      <c r="F535" s="15">
        <v>46356</v>
      </c>
      <c r="G535" s="11">
        <v>1400</v>
      </c>
      <c r="H535" s="12">
        <v>1400</v>
      </c>
      <c r="I535" s="13">
        <v>1</v>
      </c>
      <c r="J535" s="12">
        <v>1400</v>
      </c>
      <c r="K535" s="12">
        <v>77</v>
      </c>
      <c r="L535" s="12">
        <v>182</v>
      </c>
      <c r="M535" s="12">
        <v>1582</v>
      </c>
      <c r="N535" s="12">
        <v>1323</v>
      </c>
      <c r="O535" s="12">
        <v>122.28</v>
      </c>
      <c r="P535" s="12">
        <v>199.28</v>
      </c>
      <c r="Q535" s="12">
        <v>1200.72</v>
      </c>
    </row>
    <row r="536" spans="1:83" s="9" customFormat="1" x14ac:dyDescent="0.3">
      <c r="A536" s="9">
        <v>534</v>
      </c>
      <c r="B536" s="9" t="s">
        <v>1142</v>
      </c>
      <c r="C536" s="9" t="s">
        <v>1143</v>
      </c>
      <c r="D536" s="9" t="s">
        <v>1125</v>
      </c>
      <c r="E536" s="15">
        <v>46174</v>
      </c>
      <c r="F536" s="15">
        <v>46356</v>
      </c>
      <c r="G536" s="11">
        <v>1400</v>
      </c>
      <c r="H536" s="12">
        <v>1400</v>
      </c>
      <c r="I536" s="13">
        <v>1</v>
      </c>
      <c r="J536" s="12">
        <v>1400</v>
      </c>
      <c r="K536" s="12">
        <v>77</v>
      </c>
      <c r="L536" s="12">
        <v>182</v>
      </c>
      <c r="M536" s="12">
        <v>1582</v>
      </c>
      <c r="N536" s="12">
        <v>1323</v>
      </c>
      <c r="O536" s="12">
        <v>122.28</v>
      </c>
      <c r="P536" s="12">
        <v>199.28</v>
      </c>
      <c r="Q536" s="12">
        <v>1200.72</v>
      </c>
    </row>
    <row r="537" spans="1:83" s="9" customFormat="1" x14ac:dyDescent="0.3">
      <c r="A537" s="9">
        <v>535</v>
      </c>
      <c r="B537" s="9" t="s">
        <v>1144</v>
      </c>
      <c r="C537" s="9" t="s">
        <v>1145</v>
      </c>
      <c r="D537" s="9" t="s">
        <v>1125</v>
      </c>
      <c r="E537" s="15">
        <v>46174</v>
      </c>
      <c r="F537" s="15">
        <v>46356</v>
      </c>
      <c r="G537" s="11">
        <v>1400</v>
      </c>
      <c r="H537" s="12">
        <v>1400</v>
      </c>
      <c r="I537" s="13">
        <v>1</v>
      </c>
      <c r="J537" s="12">
        <v>1400</v>
      </c>
      <c r="K537" s="12">
        <v>77</v>
      </c>
      <c r="L537" s="12">
        <v>182</v>
      </c>
      <c r="M537" s="12">
        <v>1582</v>
      </c>
      <c r="N537" s="12">
        <v>1323</v>
      </c>
      <c r="O537" s="12">
        <v>122.28</v>
      </c>
      <c r="P537" s="12">
        <v>199.28</v>
      </c>
      <c r="Q537" s="12">
        <v>1200.72</v>
      </c>
    </row>
    <row r="538" spans="1:83" s="9" customFormat="1" x14ac:dyDescent="0.3">
      <c r="A538" s="9">
        <v>536</v>
      </c>
      <c r="B538" s="9" t="s">
        <v>1146</v>
      </c>
      <c r="C538" s="9" t="s">
        <v>1147</v>
      </c>
      <c r="D538" s="9" t="s">
        <v>932</v>
      </c>
      <c r="E538" s="10">
        <v>46143</v>
      </c>
      <c r="F538" s="10">
        <v>46325</v>
      </c>
      <c r="G538" s="11">
        <v>1400</v>
      </c>
      <c r="H538" s="12">
        <v>1400</v>
      </c>
      <c r="I538" s="13">
        <v>1</v>
      </c>
      <c r="J538" s="12">
        <f t="shared" ref="J538:J601" si="63">H538*I538</f>
        <v>1400</v>
      </c>
      <c r="K538" s="12">
        <f t="shared" ref="K538:K601" si="64">J538*0.055</f>
        <v>77</v>
      </c>
      <c r="L538" s="12">
        <f t="shared" ref="L538:L601" si="65">0.13*J538</f>
        <v>182</v>
      </c>
      <c r="M538" s="12">
        <f t="shared" ref="M538:M601" si="66">J538+L538</f>
        <v>1582</v>
      </c>
      <c r="N538" s="12">
        <f t="shared" ref="N538:N601" si="67">J538-K538</f>
        <v>1323</v>
      </c>
      <c r="O538" s="12">
        <v>122.28</v>
      </c>
      <c r="P538" s="12">
        <f t="shared" ref="P538:P553" si="68">K538+O538</f>
        <v>199.28</v>
      </c>
      <c r="Q538" s="12">
        <f t="shared" ref="Q538:Q553" si="69">J538-P538</f>
        <v>1200.72</v>
      </c>
    </row>
    <row r="539" spans="1:83" s="9" customFormat="1" x14ac:dyDescent="0.3">
      <c r="A539" s="9">
        <v>537</v>
      </c>
      <c r="B539" s="9" t="s">
        <v>1148</v>
      </c>
      <c r="C539" s="9" t="s">
        <v>1149</v>
      </c>
      <c r="D539" s="9" t="s">
        <v>932</v>
      </c>
      <c r="E539" s="10">
        <v>46143</v>
      </c>
      <c r="F539" s="10">
        <v>46325</v>
      </c>
      <c r="G539" s="11">
        <v>1400</v>
      </c>
      <c r="H539" s="12">
        <v>1400</v>
      </c>
      <c r="I539" s="13">
        <v>1</v>
      </c>
      <c r="J539" s="12">
        <f t="shared" si="63"/>
        <v>1400</v>
      </c>
      <c r="K539" s="12">
        <f t="shared" si="64"/>
        <v>77</v>
      </c>
      <c r="L539" s="12">
        <f t="shared" si="65"/>
        <v>182</v>
      </c>
      <c r="M539" s="12">
        <f t="shared" si="66"/>
        <v>1582</v>
      </c>
      <c r="N539" s="12">
        <f t="shared" si="67"/>
        <v>1323</v>
      </c>
      <c r="O539" s="12">
        <v>122.28</v>
      </c>
      <c r="P539" s="12">
        <f t="shared" si="68"/>
        <v>199.28</v>
      </c>
      <c r="Q539" s="12">
        <f t="shared" si="69"/>
        <v>1200.72</v>
      </c>
    </row>
    <row r="540" spans="1:83" s="9" customFormat="1" x14ac:dyDescent="0.3">
      <c r="A540" s="9">
        <v>538</v>
      </c>
      <c r="B540" s="9" t="s">
        <v>1150</v>
      </c>
      <c r="C540" s="9" t="s">
        <v>1151</v>
      </c>
      <c r="D540" s="9" t="s">
        <v>932</v>
      </c>
      <c r="E540" s="10">
        <v>46143</v>
      </c>
      <c r="F540" s="10">
        <v>46325</v>
      </c>
      <c r="G540" s="11">
        <v>1400</v>
      </c>
      <c r="H540" s="12">
        <v>1400</v>
      </c>
      <c r="I540" s="13">
        <v>1</v>
      </c>
      <c r="J540" s="12">
        <f t="shared" si="63"/>
        <v>1400</v>
      </c>
      <c r="K540" s="12">
        <f t="shared" si="64"/>
        <v>77</v>
      </c>
      <c r="L540" s="12">
        <f t="shared" si="65"/>
        <v>182</v>
      </c>
      <c r="M540" s="12">
        <f t="shared" si="66"/>
        <v>1582</v>
      </c>
      <c r="N540" s="12">
        <f t="shared" si="67"/>
        <v>1323</v>
      </c>
      <c r="O540" s="12">
        <v>122.28</v>
      </c>
      <c r="P540" s="12">
        <f t="shared" si="68"/>
        <v>199.28</v>
      </c>
      <c r="Q540" s="12">
        <f t="shared" si="69"/>
        <v>1200.72</v>
      </c>
    </row>
    <row r="541" spans="1:83" s="9" customFormat="1" x14ac:dyDescent="0.3">
      <c r="A541" s="9">
        <v>539</v>
      </c>
      <c r="B541" s="9" t="s">
        <v>1152</v>
      </c>
      <c r="C541" s="9" t="s">
        <v>1153</v>
      </c>
      <c r="D541" s="9" t="s">
        <v>932</v>
      </c>
      <c r="E541" s="15">
        <v>46174</v>
      </c>
      <c r="F541" s="15">
        <v>46356</v>
      </c>
      <c r="G541" s="11">
        <v>1400</v>
      </c>
      <c r="H541" s="12">
        <v>1400</v>
      </c>
      <c r="I541" s="13">
        <v>1</v>
      </c>
      <c r="J541" s="12">
        <f t="shared" si="63"/>
        <v>1400</v>
      </c>
      <c r="K541" s="12">
        <f t="shared" si="64"/>
        <v>77</v>
      </c>
      <c r="L541" s="12">
        <f t="shared" si="65"/>
        <v>182</v>
      </c>
      <c r="M541" s="12">
        <f t="shared" si="66"/>
        <v>1582</v>
      </c>
      <c r="N541" s="12">
        <f t="shared" si="67"/>
        <v>1323</v>
      </c>
      <c r="O541" s="12">
        <v>122.28</v>
      </c>
      <c r="P541" s="12">
        <f t="shared" si="68"/>
        <v>199.28</v>
      </c>
      <c r="Q541" s="12">
        <f t="shared" si="69"/>
        <v>1200.72</v>
      </c>
    </row>
    <row r="542" spans="1:83" s="9" customFormat="1" ht="24" customHeight="1" x14ac:dyDescent="0.3">
      <c r="A542" s="9">
        <v>540</v>
      </c>
      <c r="B542" s="9" t="s">
        <v>1154</v>
      </c>
      <c r="C542" s="9" t="s">
        <v>1155</v>
      </c>
      <c r="D542" s="9" t="s">
        <v>932</v>
      </c>
      <c r="E542" s="10">
        <v>46143</v>
      </c>
      <c r="F542" s="10">
        <v>46325</v>
      </c>
      <c r="G542" s="11">
        <v>1400</v>
      </c>
      <c r="H542" s="12">
        <v>1400</v>
      </c>
      <c r="I542" s="13">
        <v>1</v>
      </c>
      <c r="J542" s="12">
        <f t="shared" si="63"/>
        <v>1400</v>
      </c>
      <c r="K542" s="12">
        <f t="shared" si="64"/>
        <v>77</v>
      </c>
      <c r="L542" s="12">
        <f t="shared" si="65"/>
        <v>182</v>
      </c>
      <c r="M542" s="12">
        <f t="shared" si="66"/>
        <v>1582</v>
      </c>
      <c r="N542" s="12">
        <f t="shared" si="67"/>
        <v>1323</v>
      </c>
      <c r="O542" s="12">
        <v>122.28</v>
      </c>
      <c r="P542" s="12">
        <f t="shared" si="68"/>
        <v>199.28</v>
      </c>
      <c r="Q542" s="12">
        <f t="shared" si="69"/>
        <v>1200.72</v>
      </c>
    </row>
    <row r="543" spans="1:83" s="9" customFormat="1" ht="16.5" customHeight="1" x14ac:dyDescent="0.3">
      <c r="A543" s="9">
        <v>541</v>
      </c>
      <c r="B543" s="9" t="s">
        <v>1156</v>
      </c>
      <c r="C543" s="17" t="s">
        <v>1157</v>
      </c>
      <c r="D543" s="9" t="s">
        <v>932</v>
      </c>
      <c r="E543" s="10">
        <v>46143</v>
      </c>
      <c r="F543" s="10">
        <v>46325</v>
      </c>
      <c r="G543" s="11">
        <v>1400</v>
      </c>
      <c r="H543" s="12">
        <v>1400</v>
      </c>
      <c r="I543" s="13">
        <v>1</v>
      </c>
      <c r="J543" s="12">
        <f t="shared" si="63"/>
        <v>1400</v>
      </c>
      <c r="K543" s="12">
        <f t="shared" si="64"/>
        <v>77</v>
      </c>
      <c r="L543" s="12">
        <f t="shared" si="65"/>
        <v>182</v>
      </c>
      <c r="M543" s="12">
        <f t="shared" si="66"/>
        <v>1582</v>
      </c>
      <c r="N543" s="12">
        <f t="shared" si="67"/>
        <v>1323</v>
      </c>
      <c r="O543" s="12">
        <v>122.28</v>
      </c>
      <c r="P543" s="12">
        <f t="shared" si="68"/>
        <v>199.28</v>
      </c>
      <c r="Q543" s="12">
        <f t="shared" si="69"/>
        <v>1200.72</v>
      </c>
    </row>
    <row r="544" spans="1:83" s="9" customFormat="1" ht="28.15" customHeight="1" x14ac:dyDescent="0.3">
      <c r="A544" s="9">
        <v>542</v>
      </c>
      <c r="B544" s="9" t="s">
        <v>1158</v>
      </c>
      <c r="C544" s="9" t="s">
        <v>1159</v>
      </c>
      <c r="D544" s="9" t="s">
        <v>932</v>
      </c>
      <c r="E544" s="10">
        <v>46143</v>
      </c>
      <c r="F544" s="10">
        <v>46325</v>
      </c>
      <c r="G544" s="11">
        <v>1400</v>
      </c>
      <c r="H544" s="12">
        <v>1400</v>
      </c>
      <c r="I544" s="13">
        <v>1</v>
      </c>
      <c r="J544" s="12">
        <f t="shared" si="63"/>
        <v>1400</v>
      </c>
      <c r="K544" s="12">
        <f t="shared" si="64"/>
        <v>77</v>
      </c>
      <c r="L544" s="12">
        <f t="shared" si="65"/>
        <v>182</v>
      </c>
      <c r="M544" s="12">
        <f t="shared" si="66"/>
        <v>1582</v>
      </c>
      <c r="N544" s="12">
        <f t="shared" si="67"/>
        <v>1323</v>
      </c>
      <c r="O544" s="12">
        <v>122.28</v>
      </c>
      <c r="P544" s="12">
        <f t="shared" si="68"/>
        <v>199.28</v>
      </c>
      <c r="Q544" s="12">
        <f t="shared" si="69"/>
        <v>1200.72</v>
      </c>
    </row>
    <row r="545" spans="1:83" s="9" customFormat="1" x14ac:dyDescent="0.3">
      <c r="A545" s="9">
        <v>543</v>
      </c>
      <c r="B545" s="9" t="s">
        <v>1160</v>
      </c>
      <c r="C545" s="9" t="s">
        <v>1161</v>
      </c>
      <c r="D545" s="9" t="s">
        <v>932</v>
      </c>
      <c r="E545" s="10">
        <v>46143</v>
      </c>
      <c r="F545" s="10">
        <v>46325</v>
      </c>
      <c r="G545" s="11">
        <v>1400</v>
      </c>
      <c r="H545" s="12">
        <v>1400</v>
      </c>
      <c r="I545" s="13">
        <v>1</v>
      </c>
      <c r="J545" s="12">
        <f t="shared" si="63"/>
        <v>1400</v>
      </c>
      <c r="K545" s="12">
        <f t="shared" si="64"/>
        <v>77</v>
      </c>
      <c r="L545" s="12">
        <f t="shared" si="65"/>
        <v>182</v>
      </c>
      <c r="M545" s="12">
        <f t="shared" si="66"/>
        <v>1582</v>
      </c>
      <c r="N545" s="12">
        <f t="shared" si="67"/>
        <v>1323</v>
      </c>
      <c r="O545" s="12">
        <v>122.28</v>
      </c>
      <c r="P545" s="12">
        <f t="shared" si="68"/>
        <v>199.28</v>
      </c>
      <c r="Q545" s="12">
        <f t="shared" si="69"/>
        <v>1200.72</v>
      </c>
    </row>
    <row r="546" spans="1:83" s="19" customFormat="1" x14ac:dyDescent="0.3">
      <c r="A546" s="9">
        <v>544</v>
      </c>
      <c r="B546" s="9" t="s">
        <v>1162</v>
      </c>
      <c r="C546" s="9" t="s">
        <v>1163</v>
      </c>
      <c r="D546" s="9" t="s">
        <v>932</v>
      </c>
      <c r="E546" s="10">
        <v>46143</v>
      </c>
      <c r="F546" s="10">
        <v>46325</v>
      </c>
      <c r="G546" s="11">
        <v>1400</v>
      </c>
      <c r="H546" s="12">
        <v>1400</v>
      </c>
      <c r="I546" s="13">
        <v>1</v>
      </c>
      <c r="J546" s="12">
        <f t="shared" si="63"/>
        <v>1400</v>
      </c>
      <c r="K546" s="12">
        <f t="shared" si="64"/>
        <v>77</v>
      </c>
      <c r="L546" s="12">
        <f t="shared" si="65"/>
        <v>182</v>
      </c>
      <c r="M546" s="12">
        <f t="shared" si="66"/>
        <v>1582</v>
      </c>
      <c r="N546" s="12">
        <f t="shared" si="67"/>
        <v>1323</v>
      </c>
      <c r="O546" s="12">
        <v>122.28</v>
      </c>
      <c r="P546" s="12">
        <f t="shared" si="68"/>
        <v>199.28</v>
      </c>
      <c r="Q546" s="12">
        <f t="shared" si="69"/>
        <v>1200.72</v>
      </c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</row>
    <row r="547" spans="1:83" s="9" customFormat="1" x14ac:dyDescent="0.3">
      <c r="A547" s="9">
        <v>545</v>
      </c>
      <c r="B547" s="9" t="s">
        <v>1164</v>
      </c>
      <c r="C547" s="9" t="s">
        <v>1165</v>
      </c>
      <c r="D547" s="9" t="s">
        <v>121</v>
      </c>
      <c r="E547" s="10">
        <v>46143</v>
      </c>
      <c r="F547" s="10">
        <v>46325</v>
      </c>
      <c r="G547" s="11">
        <v>1400</v>
      </c>
      <c r="H547" s="12">
        <v>1400</v>
      </c>
      <c r="I547" s="13">
        <v>1</v>
      </c>
      <c r="J547" s="12">
        <f t="shared" si="63"/>
        <v>1400</v>
      </c>
      <c r="K547" s="12">
        <f t="shared" si="64"/>
        <v>77</v>
      </c>
      <c r="L547" s="12">
        <f t="shared" si="65"/>
        <v>182</v>
      </c>
      <c r="M547" s="12">
        <f t="shared" si="66"/>
        <v>1582</v>
      </c>
      <c r="N547" s="12">
        <f t="shared" si="67"/>
        <v>1323</v>
      </c>
      <c r="O547" s="12">
        <v>122.28</v>
      </c>
      <c r="P547" s="12">
        <f t="shared" si="68"/>
        <v>199.28</v>
      </c>
      <c r="Q547" s="12">
        <f t="shared" si="69"/>
        <v>1200.72</v>
      </c>
    </row>
    <row r="548" spans="1:83" s="19" customFormat="1" ht="21" customHeight="1" x14ac:dyDescent="0.3">
      <c r="A548" s="9">
        <v>546</v>
      </c>
      <c r="B548" s="9" t="s">
        <v>1166</v>
      </c>
      <c r="C548" s="9" t="s">
        <v>1167</v>
      </c>
      <c r="D548" s="9" t="s">
        <v>121</v>
      </c>
      <c r="E548" s="10">
        <v>46143</v>
      </c>
      <c r="F548" s="10">
        <v>46325</v>
      </c>
      <c r="G548" s="11">
        <v>1400</v>
      </c>
      <c r="H548" s="12">
        <v>1400</v>
      </c>
      <c r="I548" s="13">
        <v>1</v>
      </c>
      <c r="J548" s="12">
        <f t="shared" si="63"/>
        <v>1400</v>
      </c>
      <c r="K548" s="12">
        <f t="shared" si="64"/>
        <v>77</v>
      </c>
      <c r="L548" s="12">
        <f t="shared" si="65"/>
        <v>182</v>
      </c>
      <c r="M548" s="12">
        <f t="shared" si="66"/>
        <v>1582</v>
      </c>
      <c r="N548" s="12">
        <f t="shared" si="67"/>
        <v>1323</v>
      </c>
      <c r="O548" s="12">
        <v>122.28</v>
      </c>
      <c r="P548" s="12">
        <f t="shared" si="68"/>
        <v>199.28</v>
      </c>
      <c r="Q548" s="12">
        <f t="shared" si="69"/>
        <v>1200.72</v>
      </c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</row>
    <row r="549" spans="1:83" s="9" customFormat="1" ht="21" customHeight="1" x14ac:dyDescent="0.3">
      <c r="A549" s="9">
        <v>547</v>
      </c>
      <c r="B549" s="9" t="s">
        <v>1168</v>
      </c>
      <c r="C549" s="9" t="s">
        <v>1169</v>
      </c>
      <c r="D549" s="9" t="s">
        <v>245</v>
      </c>
      <c r="E549" s="15">
        <v>46174</v>
      </c>
      <c r="F549" s="15">
        <v>46356</v>
      </c>
      <c r="G549" s="11">
        <v>1400</v>
      </c>
      <c r="H549" s="12">
        <v>1400</v>
      </c>
      <c r="I549" s="13">
        <v>1</v>
      </c>
      <c r="J549" s="12">
        <f t="shared" si="63"/>
        <v>1400</v>
      </c>
      <c r="K549" s="12">
        <f t="shared" si="64"/>
        <v>77</v>
      </c>
      <c r="L549" s="12">
        <f t="shared" si="65"/>
        <v>182</v>
      </c>
      <c r="M549" s="12">
        <f t="shared" si="66"/>
        <v>1582</v>
      </c>
      <c r="N549" s="12">
        <f t="shared" si="67"/>
        <v>1323</v>
      </c>
      <c r="O549" s="12">
        <v>122.28</v>
      </c>
      <c r="P549" s="12">
        <f t="shared" si="68"/>
        <v>199.28</v>
      </c>
      <c r="Q549" s="12">
        <f t="shared" si="69"/>
        <v>1200.72</v>
      </c>
    </row>
    <row r="550" spans="1:83" s="9" customFormat="1" ht="23.25" customHeight="1" x14ac:dyDescent="0.3">
      <c r="A550" s="9">
        <v>548</v>
      </c>
      <c r="B550" s="9" t="s">
        <v>1170</v>
      </c>
      <c r="C550" s="9" t="s">
        <v>1171</v>
      </c>
      <c r="D550" s="9" t="s">
        <v>603</v>
      </c>
      <c r="E550" s="10">
        <v>46174</v>
      </c>
      <c r="F550" s="10">
        <v>46356</v>
      </c>
      <c r="G550" s="11">
        <v>1400</v>
      </c>
      <c r="H550" s="12">
        <v>1400</v>
      </c>
      <c r="I550" s="13">
        <v>1</v>
      </c>
      <c r="J550" s="12">
        <f t="shared" si="63"/>
        <v>1400</v>
      </c>
      <c r="K550" s="12">
        <f t="shared" si="64"/>
        <v>77</v>
      </c>
      <c r="L550" s="12">
        <f t="shared" si="65"/>
        <v>182</v>
      </c>
      <c r="M550" s="12">
        <f t="shared" si="66"/>
        <v>1582</v>
      </c>
      <c r="N550" s="12">
        <f t="shared" si="67"/>
        <v>1323</v>
      </c>
      <c r="O550" s="12">
        <v>122.28</v>
      </c>
      <c r="P550" s="12">
        <f t="shared" si="68"/>
        <v>199.28</v>
      </c>
      <c r="Q550" s="12">
        <f t="shared" si="69"/>
        <v>1200.72</v>
      </c>
    </row>
    <row r="551" spans="1:83" s="9" customFormat="1" x14ac:dyDescent="0.3">
      <c r="A551" s="9">
        <v>549</v>
      </c>
      <c r="B551" s="9" t="s">
        <v>1172</v>
      </c>
      <c r="C551" s="9" t="s">
        <v>1173</v>
      </c>
      <c r="D551" s="9" t="s">
        <v>124</v>
      </c>
      <c r="E551" s="10">
        <v>46174</v>
      </c>
      <c r="F551" s="10">
        <v>46356</v>
      </c>
      <c r="G551" s="11">
        <v>1400</v>
      </c>
      <c r="H551" s="12">
        <v>1400</v>
      </c>
      <c r="I551" s="13">
        <v>1</v>
      </c>
      <c r="J551" s="12">
        <f t="shared" si="63"/>
        <v>1400</v>
      </c>
      <c r="K551" s="12">
        <f t="shared" si="64"/>
        <v>77</v>
      </c>
      <c r="L551" s="12">
        <f t="shared" si="65"/>
        <v>182</v>
      </c>
      <c r="M551" s="12">
        <f t="shared" si="66"/>
        <v>1582</v>
      </c>
      <c r="N551" s="12">
        <f t="shared" si="67"/>
        <v>1323</v>
      </c>
      <c r="O551" s="12">
        <v>122.28</v>
      </c>
      <c r="P551" s="12">
        <f t="shared" si="68"/>
        <v>199.28</v>
      </c>
      <c r="Q551" s="12">
        <f t="shared" si="69"/>
        <v>1200.72</v>
      </c>
    </row>
    <row r="552" spans="1:83" s="9" customFormat="1" x14ac:dyDescent="0.3">
      <c r="A552" s="9">
        <v>550</v>
      </c>
      <c r="B552" s="9" t="s">
        <v>1174</v>
      </c>
      <c r="C552" s="9" t="s">
        <v>1175</v>
      </c>
      <c r="D552" s="9" t="s">
        <v>124</v>
      </c>
      <c r="E552" s="10">
        <v>46174</v>
      </c>
      <c r="F552" s="10">
        <v>46356</v>
      </c>
      <c r="G552" s="11">
        <v>1400</v>
      </c>
      <c r="H552" s="12">
        <v>1400</v>
      </c>
      <c r="I552" s="13">
        <v>1</v>
      </c>
      <c r="J552" s="12">
        <f t="shared" si="63"/>
        <v>1400</v>
      </c>
      <c r="K552" s="12">
        <f t="shared" si="64"/>
        <v>77</v>
      </c>
      <c r="L552" s="12">
        <f t="shared" si="65"/>
        <v>182</v>
      </c>
      <c r="M552" s="12">
        <f t="shared" si="66"/>
        <v>1582</v>
      </c>
      <c r="N552" s="12">
        <f t="shared" si="67"/>
        <v>1323</v>
      </c>
      <c r="O552" s="12">
        <v>122.28</v>
      </c>
      <c r="P552" s="12">
        <f t="shared" si="68"/>
        <v>199.28</v>
      </c>
      <c r="Q552" s="12">
        <f t="shared" si="69"/>
        <v>1200.72</v>
      </c>
    </row>
    <row r="553" spans="1:83" s="9" customFormat="1" ht="19.5" customHeight="1" x14ac:dyDescent="0.3">
      <c r="A553" s="9">
        <v>551</v>
      </c>
      <c r="B553" s="9" t="s">
        <v>1176</v>
      </c>
      <c r="C553" s="9" t="s">
        <v>1177</v>
      </c>
      <c r="D553" s="9" t="s">
        <v>559</v>
      </c>
      <c r="E553" s="10">
        <v>46174</v>
      </c>
      <c r="F553" s="10">
        <v>46356</v>
      </c>
      <c r="G553" s="11">
        <v>1400</v>
      </c>
      <c r="H553" s="12">
        <v>1400</v>
      </c>
      <c r="I553" s="13">
        <v>1</v>
      </c>
      <c r="J553" s="12">
        <f t="shared" si="63"/>
        <v>1400</v>
      </c>
      <c r="K553" s="12">
        <f t="shared" si="64"/>
        <v>77</v>
      </c>
      <c r="L553" s="12">
        <f t="shared" si="65"/>
        <v>182</v>
      </c>
      <c r="M553" s="12">
        <f t="shared" si="66"/>
        <v>1582</v>
      </c>
      <c r="N553" s="12">
        <f t="shared" si="67"/>
        <v>1323</v>
      </c>
      <c r="O553" s="12">
        <v>122.28</v>
      </c>
      <c r="P553" s="12">
        <f t="shared" si="68"/>
        <v>199.28</v>
      </c>
      <c r="Q553" s="12">
        <f t="shared" si="69"/>
        <v>1200.72</v>
      </c>
    </row>
    <row r="554" spans="1:83" s="9" customFormat="1" ht="18" customHeight="1" x14ac:dyDescent="0.3">
      <c r="A554" s="9">
        <v>552</v>
      </c>
      <c r="B554" s="9" t="s">
        <v>1178</v>
      </c>
      <c r="C554" s="9" t="s">
        <v>1179</v>
      </c>
      <c r="D554" s="9" t="s">
        <v>310</v>
      </c>
      <c r="E554" s="10">
        <v>46174</v>
      </c>
      <c r="F554" s="10">
        <v>46356</v>
      </c>
      <c r="G554" s="11">
        <v>1400</v>
      </c>
      <c r="H554" s="12">
        <v>1400</v>
      </c>
      <c r="I554" s="13">
        <v>1</v>
      </c>
      <c r="J554" s="12">
        <f t="shared" si="63"/>
        <v>1400</v>
      </c>
      <c r="K554" s="12">
        <f t="shared" si="64"/>
        <v>77</v>
      </c>
      <c r="L554" s="12">
        <f t="shared" si="65"/>
        <v>182</v>
      </c>
      <c r="M554" s="12">
        <f t="shared" si="66"/>
        <v>1582</v>
      </c>
      <c r="N554" s="12">
        <f t="shared" si="67"/>
        <v>1323</v>
      </c>
      <c r="O554" s="12">
        <v>122.28</v>
      </c>
      <c r="P554" s="12">
        <v>199.28</v>
      </c>
      <c r="Q554" s="12">
        <v>1200.72</v>
      </c>
    </row>
    <row r="555" spans="1:83" s="9" customFormat="1" x14ac:dyDescent="0.3">
      <c r="A555" s="9">
        <v>553</v>
      </c>
      <c r="B555" s="9" t="s">
        <v>1180</v>
      </c>
      <c r="C555" s="17" t="s">
        <v>1181</v>
      </c>
      <c r="D555" s="9" t="s">
        <v>310</v>
      </c>
      <c r="E555" s="10">
        <v>46174</v>
      </c>
      <c r="F555" s="10">
        <v>46356</v>
      </c>
      <c r="G555" s="11">
        <v>1400</v>
      </c>
      <c r="H555" s="12">
        <v>1400</v>
      </c>
      <c r="I555" s="13">
        <v>1</v>
      </c>
      <c r="J555" s="12">
        <f t="shared" si="63"/>
        <v>1400</v>
      </c>
      <c r="K555" s="12">
        <f t="shared" si="64"/>
        <v>77</v>
      </c>
      <c r="L555" s="12">
        <f t="shared" si="65"/>
        <v>182</v>
      </c>
      <c r="M555" s="12">
        <f t="shared" si="66"/>
        <v>1582</v>
      </c>
      <c r="N555" s="12">
        <f t="shared" si="67"/>
        <v>1323</v>
      </c>
      <c r="O555" s="12">
        <v>122.28</v>
      </c>
      <c r="P555" s="12">
        <f t="shared" ref="P555:P572" si="70">K555+O555</f>
        <v>199.28</v>
      </c>
      <c r="Q555" s="12">
        <f t="shared" ref="Q555:Q572" si="71">J555-P555</f>
        <v>1200.72</v>
      </c>
    </row>
    <row r="556" spans="1:83" ht="1.1499999999999999" customHeight="1" x14ac:dyDescent="0.3">
      <c r="A556" s="9">
        <v>554</v>
      </c>
      <c r="B556" s="9" t="s">
        <v>1182</v>
      </c>
      <c r="C556" s="9" t="s">
        <v>1183</v>
      </c>
      <c r="D556" s="9" t="s">
        <v>23</v>
      </c>
      <c r="E556" s="10">
        <v>46143</v>
      </c>
      <c r="F556" s="10">
        <v>46325</v>
      </c>
      <c r="G556" s="11">
        <v>1400</v>
      </c>
      <c r="H556" s="12">
        <v>1400</v>
      </c>
      <c r="I556" s="13">
        <v>1</v>
      </c>
      <c r="J556" s="12">
        <f t="shared" si="63"/>
        <v>1400</v>
      </c>
      <c r="K556" s="12">
        <f t="shared" si="64"/>
        <v>77</v>
      </c>
      <c r="L556" s="12">
        <f t="shared" si="65"/>
        <v>182</v>
      </c>
      <c r="M556" s="12">
        <f t="shared" si="66"/>
        <v>1582</v>
      </c>
      <c r="N556" s="12">
        <f t="shared" si="67"/>
        <v>1323</v>
      </c>
      <c r="O556" s="12">
        <v>122.28</v>
      </c>
      <c r="P556" s="12">
        <f t="shared" si="70"/>
        <v>199.28</v>
      </c>
      <c r="Q556" s="12">
        <f t="shared" si="71"/>
        <v>1200.72</v>
      </c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</row>
    <row r="557" spans="1:83" s="9" customFormat="1" x14ac:dyDescent="0.3">
      <c r="A557" s="9">
        <v>555</v>
      </c>
      <c r="B557" s="9" t="s">
        <v>1184</v>
      </c>
      <c r="C557" s="9" t="s">
        <v>1185</v>
      </c>
      <c r="D557" s="9" t="s">
        <v>23</v>
      </c>
      <c r="E557" s="10">
        <v>46174</v>
      </c>
      <c r="F557" s="10">
        <v>46356</v>
      </c>
      <c r="G557" s="11">
        <v>1400</v>
      </c>
      <c r="H557" s="12">
        <v>1400</v>
      </c>
      <c r="I557" s="13">
        <v>1</v>
      </c>
      <c r="J557" s="12">
        <f t="shared" si="63"/>
        <v>1400</v>
      </c>
      <c r="K557" s="12">
        <f t="shared" si="64"/>
        <v>77</v>
      </c>
      <c r="L557" s="12">
        <f t="shared" si="65"/>
        <v>182</v>
      </c>
      <c r="M557" s="12">
        <f t="shared" si="66"/>
        <v>1582</v>
      </c>
      <c r="N557" s="12">
        <f t="shared" si="67"/>
        <v>1323</v>
      </c>
      <c r="O557" s="12">
        <v>122.28</v>
      </c>
      <c r="P557" s="12">
        <f t="shared" si="70"/>
        <v>199.28</v>
      </c>
      <c r="Q557" s="12">
        <f t="shared" si="71"/>
        <v>1200.72</v>
      </c>
    </row>
    <row r="558" spans="1:83" s="9" customFormat="1" ht="19.899999999999999" customHeight="1" x14ac:dyDescent="0.3">
      <c r="A558" s="9">
        <v>556</v>
      </c>
      <c r="B558" s="9" t="s">
        <v>1186</v>
      </c>
      <c r="C558" s="9" t="s">
        <v>1187</v>
      </c>
      <c r="D558" s="9" t="s">
        <v>23</v>
      </c>
      <c r="E558" s="10">
        <v>46143</v>
      </c>
      <c r="F558" s="10">
        <v>46325</v>
      </c>
      <c r="G558" s="11">
        <v>1400</v>
      </c>
      <c r="H558" s="12">
        <v>1400</v>
      </c>
      <c r="I558" s="13">
        <v>1</v>
      </c>
      <c r="J558" s="12">
        <f t="shared" si="63"/>
        <v>1400</v>
      </c>
      <c r="K558" s="12">
        <f t="shared" si="64"/>
        <v>77</v>
      </c>
      <c r="L558" s="12">
        <f t="shared" si="65"/>
        <v>182</v>
      </c>
      <c r="M558" s="12">
        <f t="shared" si="66"/>
        <v>1582</v>
      </c>
      <c r="N558" s="12">
        <f t="shared" si="67"/>
        <v>1323</v>
      </c>
      <c r="O558" s="12">
        <v>122.28</v>
      </c>
      <c r="P558" s="12">
        <f t="shared" si="70"/>
        <v>199.28</v>
      </c>
      <c r="Q558" s="12">
        <f t="shared" si="71"/>
        <v>1200.72</v>
      </c>
    </row>
    <row r="559" spans="1:83" s="9" customFormat="1" ht="22.15" customHeight="1" x14ac:dyDescent="0.3">
      <c r="A559" s="9">
        <v>557</v>
      </c>
      <c r="B559" s="9" t="s">
        <v>1188</v>
      </c>
      <c r="C559" s="9" t="s">
        <v>1189</v>
      </c>
      <c r="D559" s="9" t="s">
        <v>192</v>
      </c>
      <c r="E559" s="10">
        <v>46174</v>
      </c>
      <c r="F559" s="10">
        <v>46356</v>
      </c>
      <c r="G559" s="11">
        <v>1400</v>
      </c>
      <c r="H559" s="12">
        <v>1400</v>
      </c>
      <c r="I559" s="13">
        <v>1</v>
      </c>
      <c r="J559" s="12">
        <f t="shared" si="63"/>
        <v>1400</v>
      </c>
      <c r="K559" s="12">
        <f t="shared" si="64"/>
        <v>77</v>
      </c>
      <c r="L559" s="12">
        <f t="shared" si="65"/>
        <v>182</v>
      </c>
      <c r="M559" s="12">
        <f t="shared" si="66"/>
        <v>1582</v>
      </c>
      <c r="N559" s="12">
        <f t="shared" si="67"/>
        <v>1323</v>
      </c>
      <c r="O559" s="12">
        <v>122.28</v>
      </c>
      <c r="P559" s="12">
        <f t="shared" si="70"/>
        <v>199.28</v>
      </c>
      <c r="Q559" s="12">
        <f t="shared" si="71"/>
        <v>1200.72</v>
      </c>
    </row>
    <row r="560" spans="1:83" s="9" customFormat="1" x14ac:dyDescent="0.3">
      <c r="A560" s="9">
        <v>558</v>
      </c>
      <c r="B560" s="9" t="s">
        <v>1190</v>
      </c>
      <c r="C560" s="9" t="s">
        <v>1191</v>
      </c>
      <c r="D560" s="9" t="s">
        <v>192</v>
      </c>
      <c r="E560" s="10">
        <v>46174</v>
      </c>
      <c r="F560" s="10">
        <v>46356</v>
      </c>
      <c r="G560" s="11">
        <v>1400</v>
      </c>
      <c r="H560" s="12">
        <v>1400</v>
      </c>
      <c r="I560" s="13">
        <v>1</v>
      </c>
      <c r="J560" s="12">
        <f t="shared" si="63"/>
        <v>1400</v>
      </c>
      <c r="K560" s="12">
        <f t="shared" si="64"/>
        <v>77</v>
      </c>
      <c r="L560" s="12">
        <f t="shared" si="65"/>
        <v>182</v>
      </c>
      <c r="M560" s="12">
        <f t="shared" si="66"/>
        <v>1582</v>
      </c>
      <c r="N560" s="12">
        <f t="shared" si="67"/>
        <v>1323</v>
      </c>
      <c r="O560" s="12">
        <v>122.28</v>
      </c>
      <c r="P560" s="12">
        <f t="shared" si="70"/>
        <v>199.28</v>
      </c>
      <c r="Q560" s="12">
        <f t="shared" si="71"/>
        <v>1200.72</v>
      </c>
    </row>
    <row r="561" spans="1:83" s="16" customFormat="1" x14ac:dyDescent="0.3">
      <c r="A561" s="9">
        <v>559</v>
      </c>
      <c r="B561" s="9" t="s">
        <v>1192</v>
      </c>
      <c r="C561" s="9" t="s">
        <v>1193</v>
      </c>
      <c r="D561" s="9" t="s">
        <v>192</v>
      </c>
      <c r="E561" s="15">
        <v>46143</v>
      </c>
      <c r="F561" s="15">
        <v>46325</v>
      </c>
      <c r="G561" s="11">
        <v>1400</v>
      </c>
      <c r="H561" s="12">
        <v>1400</v>
      </c>
      <c r="I561" s="13">
        <v>1</v>
      </c>
      <c r="J561" s="12">
        <f t="shared" si="63"/>
        <v>1400</v>
      </c>
      <c r="K561" s="12">
        <f t="shared" si="64"/>
        <v>77</v>
      </c>
      <c r="L561" s="12">
        <f t="shared" si="65"/>
        <v>182</v>
      </c>
      <c r="M561" s="12">
        <f t="shared" si="66"/>
        <v>1582</v>
      </c>
      <c r="N561" s="12">
        <f t="shared" si="67"/>
        <v>1323</v>
      </c>
      <c r="O561" s="12">
        <v>122.28</v>
      </c>
      <c r="P561" s="12">
        <f t="shared" si="70"/>
        <v>199.28</v>
      </c>
      <c r="Q561" s="12">
        <f t="shared" si="71"/>
        <v>1200.72</v>
      </c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</row>
    <row r="562" spans="1:83" s="9" customFormat="1" ht="18" customHeight="1" x14ac:dyDescent="0.3">
      <c r="A562" s="9">
        <v>560</v>
      </c>
      <c r="B562" s="9" t="s">
        <v>1194</v>
      </c>
      <c r="C562" s="9" t="s">
        <v>1195</v>
      </c>
      <c r="D562" s="9" t="s">
        <v>192</v>
      </c>
      <c r="E562" s="15">
        <v>46143</v>
      </c>
      <c r="F562" s="15">
        <v>46325</v>
      </c>
      <c r="G562" s="11">
        <v>1400</v>
      </c>
      <c r="H562" s="12">
        <v>1400</v>
      </c>
      <c r="I562" s="13">
        <v>1</v>
      </c>
      <c r="J562" s="12">
        <f t="shared" si="63"/>
        <v>1400</v>
      </c>
      <c r="K562" s="12">
        <f t="shared" si="64"/>
        <v>77</v>
      </c>
      <c r="L562" s="12">
        <f t="shared" si="65"/>
        <v>182</v>
      </c>
      <c r="M562" s="12">
        <f t="shared" si="66"/>
        <v>1582</v>
      </c>
      <c r="N562" s="12">
        <f t="shared" si="67"/>
        <v>1323</v>
      </c>
      <c r="O562" s="12">
        <v>122.28</v>
      </c>
      <c r="P562" s="12">
        <f t="shared" si="70"/>
        <v>199.28</v>
      </c>
      <c r="Q562" s="12">
        <f t="shared" si="71"/>
        <v>1200.72</v>
      </c>
    </row>
    <row r="563" spans="1:83" s="9" customFormat="1" x14ac:dyDescent="0.3">
      <c r="A563" s="9">
        <v>561</v>
      </c>
      <c r="B563" s="9" t="s">
        <v>1196</v>
      </c>
      <c r="C563" s="9" t="s">
        <v>1197</v>
      </c>
      <c r="D563" s="22" t="s">
        <v>42</v>
      </c>
      <c r="E563" s="10">
        <v>46174</v>
      </c>
      <c r="F563" s="10">
        <v>46356</v>
      </c>
      <c r="G563" s="11">
        <v>1400</v>
      </c>
      <c r="H563" s="12">
        <v>1400</v>
      </c>
      <c r="I563" s="13">
        <v>1</v>
      </c>
      <c r="J563" s="12">
        <f t="shared" si="63"/>
        <v>1400</v>
      </c>
      <c r="K563" s="12">
        <f t="shared" si="64"/>
        <v>77</v>
      </c>
      <c r="L563" s="12">
        <f t="shared" si="65"/>
        <v>182</v>
      </c>
      <c r="M563" s="12">
        <f t="shared" si="66"/>
        <v>1582</v>
      </c>
      <c r="N563" s="12">
        <f t="shared" si="67"/>
        <v>1323</v>
      </c>
      <c r="O563" s="12">
        <v>122.28</v>
      </c>
      <c r="P563" s="12">
        <f t="shared" si="70"/>
        <v>199.28</v>
      </c>
      <c r="Q563" s="12">
        <f t="shared" si="71"/>
        <v>1200.72</v>
      </c>
    </row>
    <row r="564" spans="1:83" s="9" customFormat="1" ht="20.25" customHeight="1" x14ac:dyDescent="0.3">
      <c r="A564" s="9">
        <v>562</v>
      </c>
      <c r="B564" s="9" t="s">
        <v>1198</v>
      </c>
      <c r="C564" s="9" t="s">
        <v>1199</v>
      </c>
      <c r="D564" s="9" t="s">
        <v>42</v>
      </c>
      <c r="E564" s="10">
        <v>46174</v>
      </c>
      <c r="F564" s="10">
        <v>46356</v>
      </c>
      <c r="G564" s="11">
        <v>1400</v>
      </c>
      <c r="H564" s="12">
        <v>1400</v>
      </c>
      <c r="I564" s="13">
        <v>1</v>
      </c>
      <c r="J564" s="12">
        <f t="shared" si="63"/>
        <v>1400</v>
      </c>
      <c r="K564" s="12">
        <f t="shared" si="64"/>
        <v>77</v>
      </c>
      <c r="L564" s="12">
        <f t="shared" si="65"/>
        <v>182</v>
      </c>
      <c r="M564" s="12">
        <f t="shared" si="66"/>
        <v>1582</v>
      </c>
      <c r="N564" s="12">
        <f t="shared" si="67"/>
        <v>1323</v>
      </c>
      <c r="O564" s="12">
        <v>122.28</v>
      </c>
      <c r="P564" s="12">
        <f t="shared" si="70"/>
        <v>199.28</v>
      </c>
      <c r="Q564" s="12">
        <f t="shared" si="71"/>
        <v>1200.72</v>
      </c>
    </row>
    <row r="565" spans="1:83" s="9" customFormat="1" ht="23.25" customHeight="1" x14ac:dyDescent="0.3">
      <c r="A565" s="9">
        <v>563</v>
      </c>
      <c r="B565" s="9" t="s">
        <v>1200</v>
      </c>
      <c r="C565" s="28" t="s">
        <v>1201</v>
      </c>
      <c r="D565" s="22" t="s">
        <v>503</v>
      </c>
      <c r="E565" s="10">
        <v>46174</v>
      </c>
      <c r="F565" s="10">
        <v>46356</v>
      </c>
      <c r="G565" s="11">
        <v>1400</v>
      </c>
      <c r="H565" s="12">
        <v>1400</v>
      </c>
      <c r="I565" s="13">
        <v>1</v>
      </c>
      <c r="J565" s="12">
        <f t="shared" si="63"/>
        <v>1400</v>
      </c>
      <c r="K565" s="12">
        <f t="shared" si="64"/>
        <v>77</v>
      </c>
      <c r="L565" s="12">
        <f t="shared" si="65"/>
        <v>182</v>
      </c>
      <c r="M565" s="12">
        <f t="shared" si="66"/>
        <v>1582</v>
      </c>
      <c r="N565" s="12">
        <f t="shared" si="67"/>
        <v>1323</v>
      </c>
      <c r="O565" s="12">
        <v>122.28</v>
      </c>
      <c r="P565" s="12">
        <f t="shared" si="70"/>
        <v>199.28</v>
      </c>
      <c r="Q565" s="12">
        <f t="shared" si="71"/>
        <v>1200.72</v>
      </c>
    </row>
    <row r="566" spans="1:83" s="9" customFormat="1" x14ac:dyDescent="0.3">
      <c r="A566" s="9">
        <v>564</v>
      </c>
      <c r="B566" s="9" t="s">
        <v>1202</v>
      </c>
      <c r="C566" s="22" t="s">
        <v>1203</v>
      </c>
      <c r="D566" s="22" t="s">
        <v>503</v>
      </c>
      <c r="E566" s="10">
        <v>46174</v>
      </c>
      <c r="F566" s="10">
        <v>46356</v>
      </c>
      <c r="G566" s="11">
        <v>1400</v>
      </c>
      <c r="H566" s="12">
        <v>1400</v>
      </c>
      <c r="I566" s="13">
        <v>1</v>
      </c>
      <c r="J566" s="12">
        <f t="shared" si="63"/>
        <v>1400</v>
      </c>
      <c r="K566" s="12">
        <f t="shared" si="64"/>
        <v>77</v>
      </c>
      <c r="L566" s="12">
        <f t="shared" si="65"/>
        <v>182</v>
      </c>
      <c r="M566" s="12">
        <f t="shared" si="66"/>
        <v>1582</v>
      </c>
      <c r="N566" s="12">
        <f t="shared" si="67"/>
        <v>1323</v>
      </c>
      <c r="O566" s="12">
        <v>122.28</v>
      </c>
      <c r="P566" s="12">
        <f t="shared" si="70"/>
        <v>199.28</v>
      </c>
      <c r="Q566" s="12">
        <f t="shared" si="71"/>
        <v>1200.72</v>
      </c>
    </row>
    <row r="567" spans="1:83" s="9" customFormat="1" x14ac:dyDescent="0.3">
      <c r="A567" s="9">
        <v>565</v>
      </c>
      <c r="B567" s="9" t="s">
        <v>1204</v>
      </c>
      <c r="C567" s="9" t="s">
        <v>1205</v>
      </c>
      <c r="D567" s="9" t="s">
        <v>996</v>
      </c>
      <c r="E567" s="10">
        <v>46143</v>
      </c>
      <c r="F567" s="10">
        <v>46325</v>
      </c>
      <c r="G567" s="11">
        <v>1400</v>
      </c>
      <c r="H567" s="12">
        <v>1400</v>
      </c>
      <c r="I567" s="13">
        <v>1</v>
      </c>
      <c r="J567" s="12">
        <f t="shared" si="63"/>
        <v>1400</v>
      </c>
      <c r="K567" s="12">
        <f t="shared" si="64"/>
        <v>77</v>
      </c>
      <c r="L567" s="12">
        <f t="shared" si="65"/>
        <v>182</v>
      </c>
      <c r="M567" s="12">
        <f t="shared" si="66"/>
        <v>1582</v>
      </c>
      <c r="N567" s="12">
        <f t="shared" si="67"/>
        <v>1323</v>
      </c>
      <c r="O567" s="12">
        <v>122.28</v>
      </c>
      <c r="P567" s="12">
        <f t="shared" si="70"/>
        <v>199.28</v>
      </c>
      <c r="Q567" s="12">
        <f t="shared" si="71"/>
        <v>1200.72</v>
      </c>
    </row>
    <row r="568" spans="1:83" s="9" customFormat="1" x14ac:dyDescent="0.3">
      <c r="A568" s="9">
        <v>566</v>
      </c>
      <c r="B568" s="9" t="s">
        <v>1206</v>
      </c>
      <c r="C568" s="9" t="s">
        <v>1207</v>
      </c>
      <c r="D568" s="9" t="s">
        <v>603</v>
      </c>
      <c r="E568" s="10">
        <v>46113</v>
      </c>
      <c r="F568" s="10">
        <v>46295</v>
      </c>
      <c r="G568" s="11">
        <v>1400</v>
      </c>
      <c r="H568" s="12">
        <v>1400</v>
      </c>
      <c r="I568" s="13">
        <v>1</v>
      </c>
      <c r="J568" s="12">
        <f t="shared" si="63"/>
        <v>1400</v>
      </c>
      <c r="K568" s="12">
        <f t="shared" si="64"/>
        <v>77</v>
      </c>
      <c r="L568" s="12">
        <f t="shared" si="65"/>
        <v>182</v>
      </c>
      <c r="M568" s="12">
        <f t="shared" si="66"/>
        <v>1582</v>
      </c>
      <c r="N568" s="12">
        <f t="shared" si="67"/>
        <v>1323</v>
      </c>
      <c r="O568" s="12">
        <v>122.28</v>
      </c>
      <c r="P568" s="12">
        <f t="shared" si="70"/>
        <v>199.28</v>
      </c>
      <c r="Q568" s="12">
        <f t="shared" si="71"/>
        <v>1200.72</v>
      </c>
    </row>
    <row r="569" spans="1:83" s="9" customFormat="1" x14ac:dyDescent="0.3">
      <c r="A569" s="9">
        <v>567</v>
      </c>
      <c r="B569" s="9" t="s">
        <v>1208</v>
      </c>
      <c r="C569" s="9" t="s">
        <v>1209</v>
      </c>
      <c r="D569" s="9" t="s">
        <v>23</v>
      </c>
      <c r="E569" s="10">
        <v>46174</v>
      </c>
      <c r="F569" s="10">
        <v>46356</v>
      </c>
      <c r="G569" s="11">
        <v>1400</v>
      </c>
      <c r="H569" s="12">
        <v>1400</v>
      </c>
      <c r="I569" s="13">
        <v>1</v>
      </c>
      <c r="J569" s="12">
        <f t="shared" si="63"/>
        <v>1400</v>
      </c>
      <c r="K569" s="12">
        <f t="shared" si="64"/>
        <v>77</v>
      </c>
      <c r="L569" s="12">
        <f t="shared" si="65"/>
        <v>182</v>
      </c>
      <c r="M569" s="12">
        <f t="shared" si="66"/>
        <v>1582</v>
      </c>
      <c r="N569" s="12">
        <f t="shared" si="67"/>
        <v>1323</v>
      </c>
      <c r="O569" s="12">
        <v>122.28</v>
      </c>
      <c r="P569" s="12">
        <f t="shared" si="70"/>
        <v>199.28</v>
      </c>
      <c r="Q569" s="12">
        <f t="shared" si="71"/>
        <v>1200.72</v>
      </c>
    </row>
    <row r="570" spans="1:83" s="9" customFormat="1" ht="24.75" customHeight="1" x14ac:dyDescent="0.3">
      <c r="A570" s="9">
        <v>568</v>
      </c>
      <c r="B570" s="9" t="s">
        <v>1210</v>
      </c>
      <c r="C570" s="9" t="s">
        <v>1211</v>
      </c>
      <c r="D570" s="9" t="s">
        <v>1212</v>
      </c>
      <c r="E570" s="10">
        <v>46174</v>
      </c>
      <c r="F570" s="10">
        <v>46356</v>
      </c>
      <c r="G570" s="11">
        <v>1400</v>
      </c>
      <c r="H570" s="12">
        <v>1400</v>
      </c>
      <c r="I570" s="13">
        <v>1</v>
      </c>
      <c r="J570" s="12">
        <f t="shared" si="63"/>
        <v>1400</v>
      </c>
      <c r="K570" s="12">
        <f t="shared" si="64"/>
        <v>77</v>
      </c>
      <c r="L570" s="12">
        <f t="shared" si="65"/>
        <v>182</v>
      </c>
      <c r="M570" s="12">
        <f t="shared" si="66"/>
        <v>1582</v>
      </c>
      <c r="N570" s="12">
        <f t="shared" si="67"/>
        <v>1323</v>
      </c>
      <c r="O570" s="12">
        <v>122.28</v>
      </c>
      <c r="P570" s="12">
        <f t="shared" si="70"/>
        <v>199.28</v>
      </c>
      <c r="Q570" s="12">
        <f t="shared" si="71"/>
        <v>1200.72</v>
      </c>
    </row>
    <row r="571" spans="1:83" s="9" customFormat="1" ht="36.75" customHeight="1" x14ac:dyDescent="0.3">
      <c r="A571" s="9">
        <v>569</v>
      </c>
      <c r="B571" s="9" t="s">
        <v>1213</v>
      </c>
      <c r="C571" s="9" t="s">
        <v>1214</v>
      </c>
      <c r="D571" s="14" t="s">
        <v>26</v>
      </c>
      <c r="E571" s="10">
        <v>46174</v>
      </c>
      <c r="F571" s="10">
        <v>46356</v>
      </c>
      <c r="G571" s="11">
        <v>1400</v>
      </c>
      <c r="H571" s="12">
        <v>1400</v>
      </c>
      <c r="I571" s="13">
        <v>1</v>
      </c>
      <c r="J571" s="12">
        <f t="shared" si="63"/>
        <v>1400</v>
      </c>
      <c r="K571" s="12">
        <f t="shared" si="64"/>
        <v>77</v>
      </c>
      <c r="L571" s="12">
        <f t="shared" si="65"/>
        <v>182</v>
      </c>
      <c r="M571" s="12">
        <f t="shared" si="66"/>
        <v>1582</v>
      </c>
      <c r="N571" s="12">
        <f t="shared" si="67"/>
        <v>1323</v>
      </c>
      <c r="O571" s="12">
        <v>122.28</v>
      </c>
      <c r="P571" s="12">
        <f t="shared" si="70"/>
        <v>199.28</v>
      </c>
      <c r="Q571" s="12">
        <f t="shared" si="71"/>
        <v>1200.72</v>
      </c>
    </row>
    <row r="572" spans="1:83" s="9" customFormat="1" ht="36.75" customHeight="1" x14ac:dyDescent="0.3">
      <c r="A572" s="9">
        <v>570</v>
      </c>
      <c r="B572" s="9" t="s">
        <v>1215</v>
      </c>
      <c r="C572" s="9" t="s">
        <v>1216</v>
      </c>
      <c r="D572" s="9" t="s">
        <v>116</v>
      </c>
      <c r="E572" s="10">
        <v>46174</v>
      </c>
      <c r="F572" s="10">
        <v>46356</v>
      </c>
      <c r="G572" s="11">
        <v>1400</v>
      </c>
      <c r="H572" s="12">
        <v>1400</v>
      </c>
      <c r="I572" s="13">
        <v>1</v>
      </c>
      <c r="J572" s="12">
        <f t="shared" si="63"/>
        <v>1400</v>
      </c>
      <c r="K572" s="12">
        <f t="shared" si="64"/>
        <v>77</v>
      </c>
      <c r="L572" s="12">
        <f t="shared" si="65"/>
        <v>182</v>
      </c>
      <c r="M572" s="12">
        <f t="shared" si="66"/>
        <v>1582</v>
      </c>
      <c r="N572" s="12">
        <f t="shared" si="67"/>
        <v>1323</v>
      </c>
      <c r="O572" s="12">
        <v>122.28</v>
      </c>
      <c r="P572" s="12">
        <f t="shared" si="70"/>
        <v>199.28</v>
      </c>
      <c r="Q572" s="12">
        <f t="shared" si="71"/>
        <v>1200.72</v>
      </c>
    </row>
    <row r="573" spans="1:83" s="9" customFormat="1" ht="27.6" customHeight="1" x14ac:dyDescent="0.3">
      <c r="A573" s="9">
        <v>571</v>
      </c>
      <c r="B573" s="9" t="s">
        <v>1217</v>
      </c>
      <c r="C573" s="9" t="s">
        <v>1218</v>
      </c>
      <c r="D573" s="9" t="s">
        <v>233</v>
      </c>
      <c r="E573" s="10">
        <v>46174</v>
      </c>
      <c r="F573" s="10">
        <v>46356</v>
      </c>
      <c r="G573" s="11">
        <v>1400</v>
      </c>
      <c r="H573" s="12">
        <v>1400</v>
      </c>
      <c r="I573" s="13">
        <v>1</v>
      </c>
      <c r="J573" s="12">
        <f t="shared" si="63"/>
        <v>1400</v>
      </c>
      <c r="K573" s="12">
        <f t="shared" si="64"/>
        <v>77</v>
      </c>
      <c r="L573" s="12">
        <f t="shared" si="65"/>
        <v>182</v>
      </c>
      <c r="M573" s="12">
        <f t="shared" si="66"/>
        <v>1582</v>
      </c>
      <c r="N573" s="12">
        <f t="shared" si="67"/>
        <v>1323</v>
      </c>
      <c r="O573" s="12">
        <v>122.28</v>
      </c>
      <c r="P573" s="12">
        <v>199.28</v>
      </c>
      <c r="Q573" s="12">
        <v>1200.72</v>
      </c>
    </row>
    <row r="574" spans="1:83" s="9" customFormat="1" ht="31.15" customHeight="1" x14ac:dyDescent="0.3">
      <c r="A574" s="9">
        <v>572</v>
      </c>
      <c r="B574" s="9" t="s">
        <v>1219</v>
      </c>
      <c r="C574" s="9" t="s">
        <v>1220</v>
      </c>
      <c r="D574" s="9" t="s">
        <v>353</v>
      </c>
      <c r="E574" s="10">
        <v>46174</v>
      </c>
      <c r="F574" s="10">
        <v>46356</v>
      </c>
      <c r="G574" s="11">
        <v>1400</v>
      </c>
      <c r="H574" s="12">
        <v>1400</v>
      </c>
      <c r="I574" s="13">
        <v>1</v>
      </c>
      <c r="J574" s="12">
        <f t="shared" si="63"/>
        <v>1400</v>
      </c>
      <c r="K574" s="12">
        <f t="shared" si="64"/>
        <v>77</v>
      </c>
      <c r="L574" s="12">
        <f t="shared" si="65"/>
        <v>182</v>
      </c>
      <c r="M574" s="12">
        <f t="shared" si="66"/>
        <v>1582</v>
      </c>
      <c r="N574" s="12">
        <f t="shared" si="67"/>
        <v>1323</v>
      </c>
      <c r="O574" s="12">
        <v>122.28</v>
      </c>
      <c r="P574" s="12">
        <f t="shared" ref="P574:P580" si="72">K574+O574</f>
        <v>199.28</v>
      </c>
      <c r="Q574" s="12">
        <f t="shared" ref="Q574:Q580" si="73">J574-P574</f>
        <v>1200.72</v>
      </c>
    </row>
    <row r="575" spans="1:83" s="9" customFormat="1" ht="31.9" customHeight="1" x14ac:dyDescent="0.3">
      <c r="A575" s="9">
        <v>573</v>
      </c>
      <c r="B575" s="9" t="s">
        <v>1221</v>
      </c>
      <c r="C575" s="9" t="s">
        <v>1222</v>
      </c>
      <c r="D575" s="9" t="s">
        <v>353</v>
      </c>
      <c r="E575" s="10">
        <v>46174</v>
      </c>
      <c r="F575" s="10">
        <v>46356</v>
      </c>
      <c r="G575" s="11">
        <v>1400</v>
      </c>
      <c r="H575" s="12">
        <v>1400</v>
      </c>
      <c r="I575" s="13">
        <v>1</v>
      </c>
      <c r="J575" s="12">
        <f t="shared" si="63"/>
        <v>1400</v>
      </c>
      <c r="K575" s="12">
        <f t="shared" si="64"/>
        <v>77</v>
      </c>
      <c r="L575" s="12">
        <f t="shared" si="65"/>
        <v>182</v>
      </c>
      <c r="M575" s="12">
        <f t="shared" si="66"/>
        <v>1582</v>
      </c>
      <c r="N575" s="12">
        <f t="shared" si="67"/>
        <v>1323</v>
      </c>
      <c r="O575" s="12">
        <v>122.28</v>
      </c>
      <c r="P575" s="12">
        <f t="shared" si="72"/>
        <v>199.28</v>
      </c>
      <c r="Q575" s="12">
        <f t="shared" si="73"/>
        <v>1200.72</v>
      </c>
    </row>
    <row r="576" spans="1:83" s="9" customFormat="1" ht="31.15" customHeight="1" x14ac:dyDescent="0.3">
      <c r="A576" s="9">
        <v>574</v>
      </c>
      <c r="B576" s="9" t="s">
        <v>1223</v>
      </c>
      <c r="C576" s="9" t="s">
        <v>1224</v>
      </c>
      <c r="D576" s="9" t="s">
        <v>353</v>
      </c>
      <c r="E576" s="10">
        <v>46174</v>
      </c>
      <c r="F576" s="10">
        <v>46356</v>
      </c>
      <c r="G576" s="11">
        <v>1400</v>
      </c>
      <c r="H576" s="12">
        <v>1400</v>
      </c>
      <c r="I576" s="13">
        <v>1</v>
      </c>
      <c r="J576" s="12">
        <f t="shared" si="63"/>
        <v>1400</v>
      </c>
      <c r="K576" s="12">
        <f t="shared" si="64"/>
        <v>77</v>
      </c>
      <c r="L576" s="12">
        <f t="shared" si="65"/>
        <v>182</v>
      </c>
      <c r="M576" s="12">
        <f t="shared" si="66"/>
        <v>1582</v>
      </c>
      <c r="N576" s="12">
        <f t="shared" si="67"/>
        <v>1323</v>
      </c>
      <c r="O576" s="12">
        <v>122.28</v>
      </c>
      <c r="P576" s="12">
        <f t="shared" si="72"/>
        <v>199.28</v>
      </c>
      <c r="Q576" s="12">
        <f t="shared" si="73"/>
        <v>1200.72</v>
      </c>
    </row>
    <row r="577" spans="1:83" s="9" customFormat="1" ht="29.45" customHeight="1" x14ac:dyDescent="0.3">
      <c r="A577" s="9">
        <v>575</v>
      </c>
      <c r="B577" s="9" t="s">
        <v>1225</v>
      </c>
      <c r="C577" s="9" t="s">
        <v>1226</v>
      </c>
      <c r="D577" s="9" t="s">
        <v>353</v>
      </c>
      <c r="E577" s="10">
        <v>46174</v>
      </c>
      <c r="F577" s="10">
        <v>46356</v>
      </c>
      <c r="G577" s="11">
        <v>1400</v>
      </c>
      <c r="H577" s="12">
        <v>1400</v>
      </c>
      <c r="I577" s="13">
        <v>1</v>
      </c>
      <c r="J577" s="12">
        <f t="shared" si="63"/>
        <v>1400</v>
      </c>
      <c r="K577" s="12">
        <f t="shared" si="64"/>
        <v>77</v>
      </c>
      <c r="L577" s="12">
        <f t="shared" si="65"/>
        <v>182</v>
      </c>
      <c r="M577" s="12">
        <f t="shared" si="66"/>
        <v>1582</v>
      </c>
      <c r="N577" s="12">
        <f t="shared" si="67"/>
        <v>1323</v>
      </c>
      <c r="O577" s="12">
        <v>122.28</v>
      </c>
      <c r="P577" s="12">
        <f t="shared" si="72"/>
        <v>199.28</v>
      </c>
      <c r="Q577" s="12">
        <f t="shared" si="73"/>
        <v>1200.72</v>
      </c>
    </row>
    <row r="578" spans="1:83" s="9" customFormat="1" ht="38.450000000000003" customHeight="1" x14ac:dyDescent="0.3">
      <c r="A578" s="9">
        <v>576</v>
      </c>
      <c r="B578" s="9" t="s">
        <v>1227</v>
      </c>
      <c r="C578" s="9" t="s">
        <v>1228</v>
      </c>
      <c r="D578" s="9" t="s">
        <v>353</v>
      </c>
      <c r="E578" s="10">
        <v>46143</v>
      </c>
      <c r="F578" s="10">
        <v>46325</v>
      </c>
      <c r="G578" s="11">
        <v>1400</v>
      </c>
      <c r="H578" s="12">
        <v>1400</v>
      </c>
      <c r="I578" s="13">
        <v>1</v>
      </c>
      <c r="J578" s="12">
        <f t="shared" si="63"/>
        <v>1400</v>
      </c>
      <c r="K578" s="12">
        <f t="shared" si="64"/>
        <v>77</v>
      </c>
      <c r="L578" s="12">
        <f t="shared" si="65"/>
        <v>182</v>
      </c>
      <c r="M578" s="12">
        <f t="shared" si="66"/>
        <v>1582</v>
      </c>
      <c r="N578" s="12">
        <f t="shared" si="67"/>
        <v>1323</v>
      </c>
      <c r="O578" s="12">
        <v>122.28</v>
      </c>
      <c r="P578" s="12">
        <f t="shared" si="72"/>
        <v>199.28</v>
      </c>
      <c r="Q578" s="12">
        <f t="shared" si="73"/>
        <v>1200.72</v>
      </c>
    </row>
    <row r="579" spans="1:83" s="9" customFormat="1" ht="36" customHeight="1" x14ac:dyDescent="0.3">
      <c r="A579" s="9">
        <v>577</v>
      </c>
      <c r="B579" s="9" t="s">
        <v>1229</v>
      </c>
      <c r="C579" s="9" t="s">
        <v>1230</v>
      </c>
      <c r="D579" s="9" t="s">
        <v>353</v>
      </c>
      <c r="E579" s="10">
        <v>46174</v>
      </c>
      <c r="F579" s="10">
        <v>46356</v>
      </c>
      <c r="G579" s="11">
        <v>1400</v>
      </c>
      <c r="H579" s="12">
        <v>1400</v>
      </c>
      <c r="I579" s="13">
        <v>1</v>
      </c>
      <c r="J579" s="12">
        <f t="shared" si="63"/>
        <v>1400</v>
      </c>
      <c r="K579" s="12">
        <f t="shared" si="64"/>
        <v>77</v>
      </c>
      <c r="L579" s="12">
        <f t="shared" si="65"/>
        <v>182</v>
      </c>
      <c r="M579" s="12">
        <f t="shared" si="66"/>
        <v>1582</v>
      </c>
      <c r="N579" s="12">
        <f t="shared" si="67"/>
        <v>1323</v>
      </c>
      <c r="O579" s="12">
        <v>122.28</v>
      </c>
      <c r="P579" s="12">
        <f t="shared" si="72"/>
        <v>199.28</v>
      </c>
      <c r="Q579" s="12">
        <f t="shared" si="73"/>
        <v>1200.72</v>
      </c>
    </row>
    <row r="580" spans="1:83" s="9" customFormat="1" ht="29.45" customHeight="1" x14ac:dyDescent="0.3">
      <c r="A580" s="9">
        <v>578</v>
      </c>
      <c r="B580" s="9" t="s">
        <v>1231</v>
      </c>
      <c r="C580" s="9" t="s">
        <v>1232</v>
      </c>
      <c r="D580" s="9" t="s">
        <v>353</v>
      </c>
      <c r="E580" s="10">
        <v>46174</v>
      </c>
      <c r="F580" s="10">
        <v>46356</v>
      </c>
      <c r="G580" s="11">
        <v>1400</v>
      </c>
      <c r="H580" s="12">
        <v>1400</v>
      </c>
      <c r="I580" s="13">
        <v>1</v>
      </c>
      <c r="J580" s="12">
        <f t="shared" si="63"/>
        <v>1400</v>
      </c>
      <c r="K580" s="12">
        <f t="shared" si="64"/>
        <v>77</v>
      </c>
      <c r="L580" s="12">
        <f t="shared" si="65"/>
        <v>182</v>
      </c>
      <c r="M580" s="12">
        <f t="shared" si="66"/>
        <v>1582</v>
      </c>
      <c r="N580" s="12">
        <f t="shared" si="67"/>
        <v>1323</v>
      </c>
      <c r="O580" s="12">
        <v>122.28</v>
      </c>
      <c r="P580" s="12">
        <f t="shared" si="72"/>
        <v>199.28</v>
      </c>
      <c r="Q580" s="12">
        <f t="shared" si="73"/>
        <v>1200.72</v>
      </c>
    </row>
    <row r="581" spans="1:83" s="9" customFormat="1" x14ac:dyDescent="0.3">
      <c r="A581" s="9">
        <v>579</v>
      </c>
      <c r="B581" s="9" t="s">
        <v>1233</v>
      </c>
      <c r="C581" s="17" t="s">
        <v>1234</v>
      </c>
      <c r="D581" s="9" t="s">
        <v>1235</v>
      </c>
      <c r="E581" s="10">
        <v>46174</v>
      </c>
      <c r="F581" s="10">
        <v>46356</v>
      </c>
      <c r="G581" s="11">
        <v>1400</v>
      </c>
      <c r="H581" s="12">
        <v>1400</v>
      </c>
      <c r="I581" s="13">
        <v>1</v>
      </c>
      <c r="J581" s="12">
        <f t="shared" si="63"/>
        <v>1400</v>
      </c>
      <c r="K581" s="12">
        <f t="shared" si="64"/>
        <v>77</v>
      </c>
      <c r="L581" s="12">
        <f t="shared" si="65"/>
        <v>182</v>
      </c>
      <c r="M581" s="12">
        <f t="shared" si="66"/>
        <v>1582</v>
      </c>
      <c r="N581" s="12">
        <f t="shared" si="67"/>
        <v>1323</v>
      </c>
      <c r="O581" s="12">
        <v>122.28</v>
      </c>
      <c r="P581" s="12">
        <v>199.28</v>
      </c>
      <c r="Q581" s="12">
        <v>1200.72</v>
      </c>
    </row>
    <row r="582" spans="1:83" s="9" customFormat="1" x14ac:dyDescent="0.3">
      <c r="A582" s="9">
        <v>580</v>
      </c>
      <c r="B582" s="9" t="s">
        <v>1236</v>
      </c>
      <c r="C582" s="9" t="s">
        <v>1237</v>
      </c>
      <c r="D582" s="9" t="s">
        <v>225</v>
      </c>
      <c r="E582" s="10">
        <v>46143</v>
      </c>
      <c r="F582" s="10">
        <v>46325</v>
      </c>
      <c r="G582" s="11">
        <v>1400</v>
      </c>
      <c r="H582" s="12">
        <v>1400</v>
      </c>
      <c r="I582" s="13">
        <v>1</v>
      </c>
      <c r="J582" s="12">
        <f t="shared" si="63"/>
        <v>1400</v>
      </c>
      <c r="K582" s="12">
        <f t="shared" si="64"/>
        <v>77</v>
      </c>
      <c r="L582" s="12">
        <f t="shared" si="65"/>
        <v>182</v>
      </c>
      <c r="M582" s="12">
        <f t="shared" si="66"/>
        <v>1582</v>
      </c>
      <c r="N582" s="12">
        <f t="shared" si="67"/>
        <v>1323</v>
      </c>
      <c r="O582" s="12">
        <v>122.28</v>
      </c>
      <c r="P582" s="12">
        <f>K582+O582</f>
        <v>199.28</v>
      </c>
      <c r="Q582" s="12">
        <f>J582-P582</f>
        <v>1200.72</v>
      </c>
    </row>
    <row r="583" spans="1:83" s="9" customFormat="1" x14ac:dyDescent="0.3">
      <c r="A583" s="9">
        <v>581</v>
      </c>
      <c r="B583" s="9" t="s">
        <v>1238</v>
      </c>
      <c r="C583" s="9" t="s">
        <v>1239</v>
      </c>
      <c r="D583" s="9" t="s">
        <v>789</v>
      </c>
      <c r="E583" s="10">
        <v>46174</v>
      </c>
      <c r="F583" s="10">
        <v>46356</v>
      </c>
      <c r="G583" s="11">
        <v>1400</v>
      </c>
      <c r="H583" s="12">
        <v>1400</v>
      </c>
      <c r="I583" s="13">
        <v>1</v>
      </c>
      <c r="J583" s="12">
        <f t="shared" si="63"/>
        <v>1400</v>
      </c>
      <c r="K583" s="12">
        <f t="shared" si="64"/>
        <v>77</v>
      </c>
      <c r="L583" s="12">
        <f t="shared" si="65"/>
        <v>182</v>
      </c>
      <c r="M583" s="12">
        <f t="shared" si="66"/>
        <v>1582</v>
      </c>
      <c r="N583" s="12">
        <f t="shared" si="67"/>
        <v>1323</v>
      </c>
      <c r="O583" s="12">
        <v>122.28</v>
      </c>
      <c r="P583" s="12">
        <v>199.28</v>
      </c>
      <c r="Q583" s="12">
        <v>1200.72</v>
      </c>
    </row>
    <row r="584" spans="1:83" s="9" customFormat="1" x14ac:dyDescent="0.3">
      <c r="A584" s="9">
        <v>582</v>
      </c>
      <c r="B584" s="9" t="s">
        <v>1240</v>
      </c>
      <c r="C584" s="9" t="s">
        <v>1241</v>
      </c>
      <c r="D584" s="9" t="s">
        <v>460</v>
      </c>
      <c r="E584" s="10">
        <v>46174</v>
      </c>
      <c r="F584" s="10">
        <v>46356</v>
      </c>
      <c r="G584" s="11">
        <v>1400</v>
      </c>
      <c r="H584" s="12">
        <v>1400</v>
      </c>
      <c r="I584" s="13">
        <v>1</v>
      </c>
      <c r="J584" s="12">
        <f t="shared" si="63"/>
        <v>1400</v>
      </c>
      <c r="K584" s="12">
        <f t="shared" si="64"/>
        <v>77</v>
      </c>
      <c r="L584" s="12">
        <f t="shared" si="65"/>
        <v>182</v>
      </c>
      <c r="M584" s="12">
        <f t="shared" si="66"/>
        <v>1582</v>
      </c>
      <c r="N584" s="12">
        <f t="shared" si="67"/>
        <v>1323</v>
      </c>
      <c r="O584" s="12">
        <v>122.28</v>
      </c>
      <c r="P584" s="12">
        <f>K584+O584</f>
        <v>199.28</v>
      </c>
      <c r="Q584" s="12">
        <f>J584-P584</f>
        <v>1200.72</v>
      </c>
    </row>
    <row r="585" spans="1:83" s="9" customFormat="1" x14ac:dyDescent="0.3">
      <c r="A585" s="9">
        <v>583</v>
      </c>
      <c r="B585" s="9" t="s">
        <v>1242</v>
      </c>
      <c r="C585" s="9" t="s">
        <v>1243</v>
      </c>
      <c r="D585" s="9" t="s">
        <v>460</v>
      </c>
      <c r="E585" s="10">
        <v>46174</v>
      </c>
      <c r="F585" s="10">
        <v>46356</v>
      </c>
      <c r="G585" s="11">
        <v>1400</v>
      </c>
      <c r="H585" s="12">
        <v>1400</v>
      </c>
      <c r="I585" s="13">
        <v>1</v>
      </c>
      <c r="J585" s="12">
        <f t="shared" si="63"/>
        <v>1400</v>
      </c>
      <c r="K585" s="12">
        <f t="shared" si="64"/>
        <v>77</v>
      </c>
      <c r="L585" s="12">
        <f t="shared" si="65"/>
        <v>182</v>
      </c>
      <c r="M585" s="12">
        <f t="shared" si="66"/>
        <v>1582</v>
      </c>
      <c r="N585" s="12">
        <f t="shared" si="67"/>
        <v>1323</v>
      </c>
      <c r="O585" s="12">
        <v>122.28</v>
      </c>
      <c r="P585" s="12">
        <v>199.28</v>
      </c>
      <c r="Q585" s="12">
        <v>1200.72</v>
      </c>
    </row>
    <row r="586" spans="1:83" s="19" customFormat="1" x14ac:dyDescent="0.3">
      <c r="A586" s="9">
        <v>584</v>
      </c>
      <c r="B586" s="9" t="s">
        <v>1244</v>
      </c>
      <c r="C586" s="9" t="s">
        <v>1245</v>
      </c>
      <c r="D586" s="9" t="s">
        <v>460</v>
      </c>
      <c r="E586" s="10">
        <v>46174</v>
      </c>
      <c r="F586" s="10">
        <v>46356</v>
      </c>
      <c r="G586" s="11">
        <v>1400</v>
      </c>
      <c r="H586" s="12">
        <v>1400</v>
      </c>
      <c r="I586" s="13">
        <v>1</v>
      </c>
      <c r="J586" s="12">
        <f t="shared" si="63"/>
        <v>1400</v>
      </c>
      <c r="K586" s="12">
        <f t="shared" si="64"/>
        <v>77</v>
      </c>
      <c r="L586" s="12">
        <f t="shared" si="65"/>
        <v>182</v>
      </c>
      <c r="M586" s="12">
        <f t="shared" si="66"/>
        <v>1582</v>
      </c>
      <c r="N586" s="12">
        <f t="shared" si="67"/>
        <v>1323</v>
      </c>
      <c r="O586" s="12">
        <v>122.28</v>
      </c>
      <c r="P586" s="12">
        <f>K586+O586</f>
        <v>199.28</v>
      </c>
      <c r="Q586" s="12">
        <f>J586-P586</f>
        <v>1200.72</v>
      </c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</row>
    <row r="587" spans="1:83" s="9" customFormat="1" x14ac:dyDescent="0.3">
      <c r="A587" s="9">
        <v>585</v>
      </c>
      <c r="B587" s="9" t="s">
        <v>1246</v>
      </c>
      <c r="C587" s="9" t="s">
        <v>1247</v>
      </c>
      <c r="D587" s="9" t="s">
        <v>121</v>
      </c>
      <c r="E587" s="10">
        <v>46174</v>
      </c>
      <c r="F587" s="10">
        <v>46356</v>
      </c>
      <c r="G587" s="11">
        <v>1400</v>
      </c>
      <c r="H587" s="12">
        <v>1400</v>
      </c>
      <c r="I587" s="13">
        <v>1</v>
      </c>
      <c r="J587" s="12">
        <f t="shared" si="63"/>
        <v>1400</v>
      </c>
      <c r="K587" s="12">
        <f t="shared" si="64"/>
        <v>77</v>
      </c>
      <c r="L587" s="12">
        <f t="shared" si="65"/>
        <v>182</v>
      </c>
      <c r="M587" s="12">
        <f t="shared" si="66"/>
        <v>1582</v>
      </c>
      <c r="N587" s="12">
        <f t="shared" si="67"/>
        <v>1323</v>
      </c>
      <c r="O587" s="12">
        <v>122.28</v>
      </c>
      <c r="P587" s="12">
        <f>K587+O587</f>
        <v>199.28</v>
      </c>
      <c r="Q587" s="12">
        <f>J587-P587</f>
        <v>1200.72</v>
      </c>
    </row>
    <row r="588" spans="1:83" s="9" customFormat="1" x14ac:dyDescent="0.3">
      <c r="A588" s="9">
        <v>586</v>
      </c>
      <c r="B588" s="9" t="s">
        <v>1248</v>
      </c>
      <c r="C588" s="9" t="s">
        <v>1249</v>
      </c>
      <c r="D588" s="9" t="s">
        <v>564</v>
      </c>
      <c r="E588" s="10">
        <v>46174</v>
      </c>
      <c r="F588" s="10">
        <v>46356</v>
      </c>
      <c r="G588" s="11">
        <v>1400</v>
      </c>
      <c r="H588" s="12">
        <v>1400</v>
      </c>
      <c r="I588" s="13">
        <v>1</v>
      </c>
      <c r="J588" s="12">
        <f t="shared" si="63"/>
        <v>1400</v>
      </c>
      <c r="K588" s="12">
        <f t="shared" si="64"/>
        <v>77</v>
      </c>
      <c r="L588" s="12">
        <f t="shared" si="65"/>
        <v>182</v>
      </c>
      <c r="M588" s="12">
        <f t="shared" si="66"/>
        <v>1582</v>
      </c>
      <c r="N588" s="12">
        <f t="shared" si="67"/>
        <v>1323</v>
      </c>
      <c r="O588" s="12">
        <v>122.28</v>
      </c>
      <c r="P588" s="12">
        <v>199.28</v>
      </c>
      <c r="Q588" s="12">
        <v>1200.72</v>
      </c>
    </row>
    <row r="589" spans="1:83" s="9" customFormat="1" ht="18.75" customHeight="1" x14ac:dyDescent="0.3">
      <c r="A589" s="9">
        <v>587</v>
      </c>
      <c r="B589" s="9" t="s">
        <v>1250</v>
      </c>
      <c r="C589" s="9" t="s">
        <v>1251</v>
      </c>
      <c r="D589" s="9" t="s">
        <v>310</v>
      </c>
      <c r="E589" s="10">
        <v>46174</v>
      </c>
      <c r="F589" s="10">
        <v>46356</v>
      </c>
      <c r="G589" s="11">
        <v>1400</v>
      </c>
      <c r="H589" s="12">
        <v>1400</v>
      </c>
      <c r="I589" s="13">
        <v>1</v>
      </c>
      <c r="J589" s="12">
        <f t="shared" si="63"/>
        <v>1400</v>
      </c>
      <c r="K589" s="12">
        <f t="shared" si="64"/>
        <v>77</v>
      </c>
      <c r="L589" s="12">
        <f t="shared" si="65"/>
        <v>182</v>
      </c>
      <c r="M589" s="12">
        <f t="shared" si="66"/>
        <v>1582</v>
      </c>
      <c r="N589" s="12">
        <f t="shared" si="67"/>
        <v>1323</v>
      </c>
      <c r="O589" s="12">
        <v>122.28</v>
      </c>
      <c r="P589" s="12">
        <f>K589+O589</f>
        <v>199.28</v>
      </c>
      <c r="Q589" s="12">
        <f>J589-P589</f>
        <v>1200.72</v>
      </c>
    </row>
    <row r="590" spans="1:83" s="9" customFormat="1" x14ac:dyDescent="0.3">
      <c r="A590" s="9">
        <v>588</v>
      </c>
      <c r="B590" s="9" t="s">
        <v>1252</v>
      </c>
      <c r="C590" s="9" t="s">
        <v>1253</v>
      </c>
      <c r="D590" s="9" t="s">
        <v>42</v>
      </c>
      <c r="E590" s="10">
        <v>46174</v>
      </c>
      <c r="F590" s="10">
        <v>46356</v>
      </c>
      <c r="G590" s="11">
        <v>1400</v>
      </c>
      <c r="H590" s="12">
        <v>1400</v>
      </c>
      <c r="I590" s="13">
        <v>1</v>
      </c>
      <c r="J590" s="12">
        <f t="shared" si="63"/>
        <v>1400</v>
      </c>
      <c r="K590" s="12">
        <f t="shared" si="64"/>
        <v>77</v>
      </c>
      <c r="L590" s="12">
        <f t="shared" si="65"/>
        <v>182</v>
      </c>
      <c r="M590" s="12">
        <f t="shared" si="66"/>
        <v>1582</v>
      </c>
      <c r="N590" s="12">
        <f t="shared" si="67"/>
        <v>1323</v>
      </c>
      <c r="O590" s="12">
        <v>122.28</v>
      </c>
      <c r="P590" s="12">
        <v>199.28</v>
      </c>
      <c r="Q590" s="12">
        <v>1200.72</v>
      </c>
    </row>
    <row r="591" spans="1:83" s="9" customFormat="1" x14ac:dyDescent="0.3">
      <c r="A591" s="9">
        <v>589</v>
      </c>
      <c r="B591" s="9" t="s">
        <v>1254</v>
      </c>
      <c r="C591" s="9" t="s">
        <v>1255</v>
      </c>
      <c r="D591" s="9" t="s">
        <v>166</v>
      </c>
      <c r="E591" s="10">
        <v>46113</v>
      </c>
      <c r="F591" s="10">
        <v>46295</v>
      </c>
      <c r="G591" s="11">
        <v>1400</v>
      </c>
      <c r="H591" s="12">
        <v>1400</v>
      </c>
      <c r="I591" s="13">
        <v>1</v>
      </c>
      <c r="J591" s="12">
        <f t="shared" si="63"/>
        <v>1400</v>
      </c>
      <c r="K591" s="12">
        <f t="shared" si="64"/>
        <v>77</v>
      </c>
      <c r="L591" s="12">
        <f t="shared" si="65"/>
        <v>182</v>
      </c>
      <c r="M591" s="12">
        <f t="shared" si="66"/>
        <v>1582</v>
      </c>
      <c r="N591" s="12">
        <f t="shared" si="67"/>
        <v>1323</v>
      </c>
      <c r="O591" s="12">
        <v>122.28</v>
      </c>
      <c r="P591" s="12">
        <f>K591+O591</f>
        <v>199.28</v>
      </c>
      <c r="Q591" s="12">
        <f>J591-P591</f>
        <v>1200.72</v>
      </c>
    </row>
    <row r="592" spans="1:83" s="9" customFormat="1" x14ac:dyDescent="0.3">
      <c r="A592" s="9">
        <v>590</v>
      </c>
      <c r="B592" s="9" t="s">
        <v>1256</v>
      </c>
      <c r="C592" s="9" t="s">
        <v>1257</v>
      </c>
      <c r="D592" s="9" t="s">
        <v>1064</v>
      </c>
      <c r="E592" s="10">
        <v>46174</v>
      </c>
      <c r="F592" s="10">
        <v>46356</v>
      </c>
      <c r="G592" s="11">
        <v>1400</v>
      </c>
      <c r="H592" s="12">
        <v>1400</v>
      </c>
      <c r="I592" s="13">
        <v>1</v>
      </c>
      <c r="J592" s="12">
        <f t="shared" si="63"/>
        <v>1400</v>
      </c>
      <c r="K592" s="12">
        <f t="shared" si="64"/>
        <v>77</v>
      </c>
      <c r="L592" s="12">
        <f t="shared" si="65"/>
        <v>182</v>
      </c>
      <c r="M592" s="12">
        <f t="shared" si="66"/>
        <v>1582</v>
      </c>
      <c r="N592" s="12">
        <f t="shared" si="67"/>
        <v>1323</v>
      </c>
      <c r="O592" s="12">
        <v>122.28</v>
      </c>
      <c r="P592" s="12">
        <v>199.28</v>
      </c>
      <c r="Q592" s="12">
        <v>1200.72</v>
      </c>
    </row>
    <row r="593" spans="1:17" s="9" customFormat="1" x14ac:dyDescent="0.3">
      <c r="A593" s="9">
        <v>591</v>
      </c>
      <c r="B593" s="9" t="s">
        <v>1258</v>
      </c>
      <c r="C593" s="9" t="s">
        <v>1259</v>
      </c>
      <c r="D593" s="9" t="s">
        <v>1212</v>
      </c>
      <c r="E593" s="10">
        <v>46174</v>
      </c>
      <c r="F593" s="10">
        <v>46356</v>
      </c>
      <c r="G593" s="11">
        <v>1400</v>
      </c>
      <c r="H593" s="12">
        <v>1400</v>
      </c>
      <c r="I593" s="13">
        <v>1</v>
      </c>
      <c r="J593" s="12">
        <f t="shared" si="63"/>
        <v>1400</v>
      </c>
      <c r="K593" s="12">
        <f t="shared" si="64"/>
        <v>77</v>
      </c>
      <c r="L593" s="12">
        <f t="shared" si="65"/>
        <v>182</v>
      </c>
      <c r="M593" s="12">
        <f t="shared" si="66"/>
        <v>1582</v>
      </c>
      <c r="N593" s="12">
        <f t="shared" si="67"/>
        <v>1323</v>
      </c>
      <c r="O593" s="12">
        <v>122.28</v>
      </c>
      <c r="P593" s="12">
        <f>K593+O593</f>
        <v>199.28</v>
      </c>
      <c r="Q593" s="12">
        <f>J593-P593</f>
        <v>1200.72</v>
      </c>
    </row>
    <row r="594" spans="1:17" s="9" customFormat="1" x14ac:dyDescent="0.3">
      <c r="A594" s="9">
        <v>592</v>
      </c>
      <c r="B594" s="9" t="s">
        <v>1260</v>
      </c>
      <c r="C594" s="9" t="s">
        <v>1261</v>
      </c>
      <c r="D594" s="9" t="s">
        <v>1212</v>
      </c>
      <c r="E594" s="10">
        <v>46174</v>
      </c>
      <c r="F594" s="10">
        <v>46356</v>
      </c>
      <c r="G594" s="11">
        <v>1400</v>
      </c>
      <c r="H594" s="12">
        <v>1400</v>
      </c>
      <c r="I594" s="13">
        <v>1</v>
      </c>
      <c r="J594" s="12">
        <f t="shared" si="63"/>
        <v>1400</v>
      </c>
      <c r="K594" s="12">
        <f t="shared" si="64"/>
        <v>77</v>
      </c>
      <c r="L594" s="12">
        <f t="shared" si="65"/>
        <v>182</v>
      </c>
      <c r="M594" s="12">
        <f t="shared" si="66"/>
        <v>1582</v>
      </c>
      <c r="N594" s="12">
        <f t="shared" si="67"/>
        <v>1323</v>
      </c>
      <c r="O594" s="12">
        <v>122.28</v>
      </c>
      <c r="P594" s="12">
        <v>199.28</v>
      </c>
      <c r="Q594" s="12">
        <v>1200.72</v>
      </c>
    </row>
    <row r="595" spans="1:17" s="9" customFormat="1" x14ac:dyDescent="0.3">
      <c r="A595" s="9">
        <v>593</v>
      </c>
      <c r="B595" s="9" t="s">
        <v>1262</v>
      </c>
      <c r="C595" s="9" t="s">
        <v>1263</v>
      </c>
      <c r="D595" s="9" t="s">
        <v>353</v>
      </c>
      <c r="E595" s="10">
        <v>46174</v>
      </c>
      <c r="F595" s="10">
        <v>46356</v>
      </c>
      <c r="G595" s="11">
        <v>1400</v>
      </c>
      <c r="H595" s="12">
        <v>1400</v>
      </c>
      <c r="I595" s="13">
        <v>1</v>
      </c>
      <c r="J595" s="12">
        <f t="shared" si="63"/>
        <v>1400</v>
      </c>
      <c r="K595" s="12">
        <f t="shared" si="64"/>
        <v>77</v>
      </c>
      <c r="L595" s="12">
        <f t="shared" si="65"/>
        <v>182</v>
      </c>
      <c r="M595" s="12">
        <f t="shared" si="66"/>
        <v>1582</v>
      </c>
      <c r="N595" s="12">
        <f t="shared" si="67"/>
        <v>1323</v>
      </c>
      <c r="O595" s="12">
        <v>122.28</v>
      </c>
      <c r="P595" s="12">
        <f t="shared" ref="P595:P658" si="74">K595+O595</f>
        <v>199.28</v>
      </c>
      <c r="Q595" s="12">
        <f t="shared" ref="Q595:Q658" si="75">J595-P595</f>
        <v>1200.72</v>
      </c>
    </row>
    <row r="596" spans="1:17" s="29" customFormat="1" ht="20.100000000000001" customHeight="1" x14ac:dyDescent="0.3">
      <c r="A596" s="9">
        <v>594</v>
      </c>
      <c r="B596" s="29" t="s">
        <v>1264</v>
      </c>
      <c r="C596" s="29" t="s">
        <v>1265</v>
      </c>
      <c r="D596" s="29" t="s">
        <v>23</v>
      </c>
      <c r="E596" s="30">
        <v>46143</v>
      </c>
      <c r="F596" s="30">
        <v>46325</v>
      </c>
      <c r="G596" s="31">
        <v>1400</v>
      </c>
      <c r="H596" s="32">
        <v>1400</v>
      </c>
      <c r="I596" s="33">
        <v>1</v>
      </c>
      <c r="J596" s="32">
        <f t="shared" si="63"/>
        <v>1400</v>
      </c>
      <c r="K596" s="32">
        <f t="shared" si="64"/>
        <v>77</v>
      </c>
      <c r="L596" s="32">
        <f t="shared" si="65"/>
        <v>182</v>
      </c>
      <c r="M596" s="32">
        <f t="shared" si="66"/>
        <v>1582</v>
      </c>
      <c r="N596" s="32">
        <f t="shared" si="67"/>
        <v>1323</v>
      </c>
      <c r="O596" s="32">
        <v>122.28</v>
      </c>
      <c r="P596" s="32">
        <f t="shared" si="74"/>
        <v>199.28</v>
      </c>
      <c r="Q596" s="32">
        <f t="shared" si="75"/>
        <v>1200.72</v>
      </c>
    </row>
    <row r="597" spans="1:17" s="29" customFormat="1" ht="20.100000000000001" customHeight="1" x14ac:dyDescent="0.3">
      <c r="A597" s="9">
        <v>595</v>
      </c>
      <c r="B597" s="29" t="s">
        <v>1266</v>
      </c>
      <c r="C597" s="29" t="s">
        <v>1267</v>
      </c>
      <c r="D597" s="29" t="s">
        <v>1268</v>
      </c>
      <c r="E597" s="10">
        <v>46174</v>
      </c>
      <c r="F597" s="10">
        <v>46356</v>
      </c>
      <c r="G597" s="31">
        <v>1400</v>
      </c>
      <c r="H597" s="32">
        <v>1400</v>
      </c>
      <c r="I597" s="33">
        <v>1</v>
      </c>
      <c r="J597" s="32">
        <f t="shared" si="63"/>
        <v>1400</v>
      </c>
      <c r="K597" s="32">
        <f t="shared" si="64"/>
        <v>77</v>
      </c>
      <c r="L597" s="32">
        <f t="shared" si="65"/>
        <v>182</v>
      </c>
      <c r="M597" s="32">
        <f t="shared" si="66"/>
        <v>1582</v>
      </c>
      <c r="N597" s="32">
        <f t="shared" si="67"/>
        <v>1323</v>
      </c>
      <c r="O597" s="32">
        <v>122.28</v>
      </c>
      <c r="P597" s="32">
        <f t="shared" si="74"/>
        <v>199.28</v>
      </c>
      <c r="Q597" s="32">
        <f t="shared" si="75"/>
        <v>1200.72</v>
      </c>
    </row>
    <row r="598" spans="1:17" s="29" customFormat="1" ht="20.100000000000001" customHeight="1" x14ac:dyDescent="0.3">
      <c r="A598" s="9">
        <v>596</v>
      </c>
      <c r="B598" s="29" t="s">
        <v>1269</v>
      </c>
      <c r="C598" s="29" t="s">
        <v>1270</v>
      </c>
      <c r="D598" s="29" t="s">
        <v>1268</v>
      </c>
      <c r="E598" s="10">
        <v>46174</v>
      </c>
      <c r="F598" s="10">
        <v>46356</v>
      </c>
      <c r="G598" s="31">
        <v>1400</v>
      </c>
      <c r="H598" s="32">
        <v>1400</v>
      </c>
      <c r="I598" s="33">
        <v>1</v>
      </c>
      <c r="J598" s="32">
        <f t="shared" si="63"/>
        <v>1400</v>
      </c>
      <c r="K598" s="32">
        <f t="shared" si="64"/>
        <v>77</v>
      </c>
      <c r="L598" s="32">
        <f t="shared" si="65"/>
        <v>182</v>
      </c>
      <c r="M598" s="32">
        <f t="shared" si="66"/>
        <v>1582</v>
      </c>
      <c r="N598" s="32">
        <f t="shared" si="67"/>
        <v>1323</v>
      </c>
      <c r="O598" s="32">
        <v>122.28</v>
      </c>
      <c r="P598" s="32">
        <f t="shared" si="74"/>
        <v>199.28</v>
      </c>
      <c r="Q598" s="32">
        <f t="shared" si="75"/>
        <v>1200.72</v>
      </c>
    </row>
    <row r="599" spans="1:17" s="29" customFormat="1" ht="20.100000000000001" customHeight="1" x14ac:dyDescent="0.3">
      <c r="A599" s="9">
        <v>597</v>
      </c>
      <c r="B599" s="29" t="s">
        <v>1271</v>
      </c>
      <c r="C599" s="29" t="s">
        <v>1272</v>
      </c>
      <c r="D599" s="29" t="s">
        <v>1268</v>
      </c>
      <c r="E599" s="10">
        <v>46174</v>
      </c>
      <c r="F599" s="10">
        <v>46356</v>
      </c>
      <c r="G599" s="31">
        <v>1400</v>
      </c>
      <c r="H599" s="32">
        <v>1400</v>
      </c>
      <c r="I599" s="33">
        <v>1</v>
      </c>
      <c r="J599" s="32">
        <f t="shared" si="63"/>
        <v>1400</v>
      </c>
      <c r="K599" s="32">
        <f t="shared" si="64"/>
        <v>77</v>
      </c>
      <c r="L599" s="32">
        <f t="shared" si="65"/>
        <v>182</v>
      </c>
      <c r="M599" s="32">
        <f t="shared" si="66"/>
        <v>1582</v>
      </c>
      <c r="N599" s="32">
        <f t="shared" si="67"/>
        <v>1323</v>
      </c>
      <c r="O599" s="32">
        <v>122.28</v>
      </c>
      <c r="P599" s="32">
        <f t="shared" si="74"/>
        <v>199.28</v>
      </c>
      <c r="Q599" s="32">
        <f t="shared" si="75"/>
        <v>1200.72</v>
      </c>
    </row>
    <row r="600" spans="1:17" s="29" customFormat="1" ht="20.100000000000001" customHeight="1" x14ac:dyDescent="0.3">
      <c r="A600" s="9">
        <v>598</v>
      </c>
      <c r="B600" s="29" t="s">
        <v>1273</v>
      </c>
      <c r="C600" s="29" t="s">
        <v>1274</v>
      </c>
      <c r="D600" s="29" t="s">
        <v>1268</v>
      </c>
      <c r="E600" s="10">
        <v>46174</v>
      </c>
      <c r="F600" s="10">
        <v>46356</v>
      </c>
      <c r="G600" s="31">
        <v>1400</v>
      </c>
      <c r="H600" s="32">
        <v>1400</v>
      </c>
      <c r="I600" s="33">
        <v>1</v>
      </c>
      <c r="J600" s="32">
        <f t="shared" si="63"/>
        <v>1400</v>
      </c>
      <c r="K600" s="32">
        <f t="shared" si="64"/>
        <v>77</v>
      </c>
      <c r="L600" s="32">
        <f t="shared" si="65"/>
        <v>182</v>
      </c>
      <c r="M600" s="32">
        <f t="shared" si="66"/>
        <v>1582</v>
      </c>
      <c r="N600" s="32">
        <f t="shared" si="67"/>
        <v>1323</v>
      </c>
      <c r="O600" s="32">
        <v>122.28</v>
      </c>
      <c r="P600" s="32">
        <f t="shared" si="74"/>
        <v>199.28</v>
      </c>
      <c r="Q600" s="32">
        <f t="shared" si="75"/>
        <v>1200.72</v>
      </c>
    </row>
    <row r="601" spans="1:17" s="29" customFormat="1" ht="20.100000000000001" customHeight="1" x14ac:dyDescent="0.3">
      <c r="A601" s="9">
        <v>599</v>
      </c>
      <c r="B601" s="29" t="s">
        <v>1275</v>
      </c>
      <c r="C601" s="29" t="s">
        <v>1276</v>
      </c>
      <c r="D601" s="29" t="s">
        <v>1268</v>
      </c>
      <c r="E601" s="10">
        <v>46174</v>
      </c>
      <c r="F601" s="10">
        <v>46356</v>
      </c>
      <c r="G601" s="31">
        <v>1400</v>
      </c>
      <c r="H601" s="32">
        <v>1400</v>
      </c>
      <c r="I601" s="33">
        <v>1</v>
      </c>
      <c r="J601" s="32">
        <f t="shared" si="63"/>
        <v>1400</v>
      </c>
      <c r="K601" s="32">
        <f t="shared" si="64"/>
        <v>77</v>
      </c>
      <c r="L601" s="32">
        <f t="shared" si="65"/>
        <v>182</v>
      </c>
      <c r="M601" s="32">
        <f t="shared" si="66"/>
        <v>1582</v>
      </c>
      <c r="N601" s="32">
        <f t="shared" si="67"/>
        <v>1323</v>
      </c>
      <c r="O601" s="32">
        <v>122.28</v>
      </c>
      <c r="P601" s="32">
        <f t="shared" si="74"/>
        <v>199.28</v>
      </c>
      <c r="Q601" s="32">
        <f t="shared" si="75"/>
        <v>1200.72</v>
      </c>
    </row>
    <row r="602" spans="1:17" s="29" customFormat="1" ht="20.100000000000001" customHeight="1" x14ac:dyDescent="0.3">
      <c r="A602" s="9">
        <v>600</v>
      </c>
      <c r="B602" s="29" t="s">
        <v>1277</v>
      </c>
      <c r="C602" s="29" t="s">
        <v>1278</v>
      </c>
      <c r="D602" s="29" t="s">
        <v>1268</v>
      </c>
      <c r="E602" s="10">
        <v>46174</v>
      </c>
      <c r="F602" s="10">
        <v>46356</v>
      </c>
      <c r="G602" s="31">
        <v>1400</v>
      </c>
      <c r="H602" s="32">
        <v>1400</v>
      </c>
      <c r="I602" s="33">
        <v>1</v>
      </c>
      <c r="J602" s="32">
        <f t="shared" ref="J602:J665" si="76">H602*I602</f>
        <v>1400</v>
      </c>
      <c r="K602" s="32">
        <f t="shared" ref="K602:K665" si="77">J602*0.055</f>
        <v>77</v>
      </c>
      <c r="L602" s="32">
        <f t="shared" ref="L602:L665" si="78">0.13*J602</f>
        <v>182</v>
      </c>
      <c r="M602" s="32">
        <f t="shared" ref="M602:M665" si="79">J602+L602</f>
        <v>1582</v>
      </c>
      <c r="N602" s="32">
        <f t="shared" ref="N602:N665" si="80">J602-K602</f>
        <v>1323</v>
      </c>
      <c r="O602" s="32">
        <v>122.28</v>
      </c>
      <c r="P602" s="32">
        <f t="shared" si="74"/>
        <v>199.28</v>
      </c>
      <c r="Q602" s="32">
        <f t="shared" si="75"/>
        <v>1200.72</v>
      </c>
    </row>
    <row r="603" spans="1:17" s="29" customFormat="1" ht="20.100000000000001" customHeight="1" x14ac:dyDescent="0.3">
      <c r="A603" s="9">
        <v>601</v>
      </c>
      <c r="B603" s="29" t="s">
        <v>1279</v>
      </c>
      <c r="C603" s="29" t="s">
        <v>1280</v>
      </c>
      <c r="D603" s="29" t="s">
        <v>1268</v>
      </c>
      <c r="E603" s="10">
        <v>46174</v>
      </c>
      <c r="F603" s="10">
        <v>46356</v>
      </c>
      <c r="G603" s="31">
        <v>1400</v>
      </c>
      <c r="H603" s="32">
        <v>1400</v>
      </c>
      <c r="I603" s="33">
        <v>1</v>
      </c>
      <c r="J603" s="32">
        <f t="shared" si="76"/>
        <v>1400</v>
      </c>
      <c r="K603" s="32">
        <f t="shared" si="77"/>
        <v>77</v>
      </c>
      <c r="L603" s="32">
        <f t="shared" si="78"/>
        <v>182</v>
      </c>
      <c r="M603" s="32">
        <f t="shared" si="79"/>
        <v>1582</v>
      </c>
      <c r="N603" s="32">
        <f t="shared" si="80"/>
        <v>1323</v>
      </c>
      <c r="O603" s="32">
        <v>122.28</v>
      </c>
      <c r="P603" s="32">
        <f t="shared" si="74"/>
        <v>199.28</v>
      </c>
      <c r="Q603" s="32">
        <f t="shared" si="75"/>
        <v>1200.72</v>
      </c>
    </row>
    <row r="604" spans="1:17" s="29" customFormat="1" ht="20.100000000000001" customHeight="1" x14ac:dyDescent="0.3">
      <c r="A604" s="9">
        <v>602</v>
      </c>
      <c r="B604" s="29" t="s">
        <v>1281</v>
      </c>
      <c r="C604" s="29" t="s">
        <v>1282</v>
      </c>
      <c r="D604" s="29" t="s">
        <v>1268</v>
      </c>
      <c r="E604" s="10">
        <v>46174</v>
      </c>
      <c r="F604" s="10">
        <v>46356</v>
      </c>
      <c r="G604" s="31">
        <v>1400</v>
      </c>
      <c r="H604" s="32">
        <v>1400</v>
      </c>
      <c r="I604" s="33">
        <v>1</v>
      </c>
      <c r="J604" s="32">
        <f t="shared" si="76"/>
        <v>1400</v>
      </c>
      <c r="K604" s="32">
        <f t="shared" si="77"/>
        <v>77</v>
      </c>
      <c r="L604" s="32">
        <f t="shared" si="78"/>
        <v>182</v>
      </c>
      <c r="M604" s="32">
        <f t="shared" si="79"/>
        <v>1582</v>
      </c>
      <c r="N604" s="32">
        <f t="shared" si="80"/>
        <v>1323</v>
      </c>
      <c r="O604" s="32">
        <v>122.28</v>
      </c>
      <c r="P604" s="32">
        <f t="shared" si="74"/>
        <v>199.28</v>
      </c>
      <c r="Q604" s="32">
        <f t="shared" si="75"/>
        <v>1200.72</v>
      </c>
    </row>
    <row r="605" spans="1:17" s="29" customFormat="1" ht="20.100000000000001" customHeight="1" x14ac:dyDescent="0.3">
      <c r="A605" s="9">
        <v>603</v>
      </c>
      <c r="B605" s="29" t="s">
        <v>1283</v>
      </c>
      <c r="C605" s="29" t="s">
        <v>1284</v>
      </c>
      <c r="D605" s="29" t="s">
        <v>1268</v>
      </c>
      <c r="E605" s="10">
        <v>46174</v>
      </c>
      <c r="F605" s="10">
        <v>46356</v>
      </c>
      <c r="G605" s="31">
        <v>1400</v>
      </c>
      <c r="H605" s="32">
        <v>1400</v>
      </c>
      <c r="I605" s="33">
        <v>1</v>
      </c>
      <c r="J605" s="32">
        <f t="shared" si="76"/>
        <v>1400</v>
      </c>
      <c r="K605" s="32">
        <f t="shared" si="77"/>
        <v>77</v>
      </c>
      <c r="L605" s="32">
        <f t="shared" si="78"/>
        <v>182</v>
      </c>
      <c r="M605" s="32">
        <f t="shared" si="79"/>
        <v>1582</v>
      </c>
      <c r="N605" s="32">
        <f t="shared" si="80"/>
        <v>1323</v>
      </c>
      <c r="O605" s="32">
        <v>122.28</v>
      </c>
      <c r="P605" s="32">
        <f t="shared" si="74"/>
        <v>199.28</v>
      </c>
      <c r="Q605" s="32">
        <f t="shared" si="75"/>
        <v>1200.72</v>
      </c>
    </row>
    <row r="606" spans="1:17" s="29" customFormat="1" ht="20.100000000000001" customHeight="1" x14ac:dyDescent="0.3">
      <c r="A606" s="9">
        <v>604</v>
      </c>
      <c r="B606" s="29" t="s">
        <v>1285</v>
      </c>
      <c r="C606" s="29" t="s">
        <v>1286</v>
      </c>
      <c r="D606" s="29" t="s">
        <v>1268</v>
      </c>
      <c r="E606" s="10">
        <v>46174</v>
      </c>
      <c r="F606" s="10">
        <v>46356</v>
      </c>
      <c r="G606" s="31">
        <v>1400</v>
      </c>
      <c r="H606" s="32">
        <v>1400</v>
      </c>
      <c r="I606" s="33">
        <v>1</v>
      </c>
      <c r="J606" s="32">
        <f t="shared" si="76"/>
        <v>1400</v>
      </c>
      <c r="K606" s="32">
        <f t="shared" si="77"/>
        <v>77</v>
      </c>
      <c r="L606" s="32">
        <f t="shared" si="78"/>
        <v>182</v>
      </c>
      <c r="M606" s="32">
        <f t="shared" si="79"/>
        <v>1582</v>
      </c>
      <c r="N606" s="32">
        <f t="shared" si="80"/>
        <v>1323</v>
      </c>
      <c r="O606" s="32">
        <v>122.28</v>
      </c>
      <c r="P606" s="32">
        <f t="shared" si="74"/>
        <v>199.28</v>
      </c>
      <c r="Q606" s="32">
        <f t="shared" si="75"/>
        <v>1200.72</v>
      </c>
    </row>
    <row r="607" spans="1:17" s="29" customFormat="1" ht="20.100000000000001" customHeight="1" x14ac:dyDescent="0.3">
      <c r="A607" s="9">
        <v>605</v>
      </c>
      <c r="B607" s="29" t="s">
        <v>1287</v>
      </c>
      <c r="C607" s="29" t="s">
        <v>1288</v>
      </c>
      <c r="D607" s="29" t="s">
        <v>1268</v>
      </c>
      <c r="E607" s="10">
        <v>46174</v>
      </c>
      <c r="F607" s="10">
        <v>46356</v>
      </c>
      <c r="G607" s="31">
        <v>1400</v>
      </c>
      <c r="H607" s="32">
        <v>1400</v>
      </c>
      <c r="I607" s="33">
        <v>1</v>
      </c>
      <c r="J607" s="32">
        <f t="shared" si="76"/>
        <v>1400</v>
      </c>
      <c r="K607" s="32">
        <f t="shared" si="77"/>
        <v>77</v>
      </c>
      <c r="L607" s="32">
        <f t="shared" si="78"/>
        <v>182</v>
      </c>
      <c r="M607" s="32">
        <f t="shared" si="79"/>
        <v>1582</v>
      </c>
      <c r="N607" s="32">
        <f t="shared" si="80"/>
        <v>1323</v>
      </c>
      <c r="O607" s="32">
        <v>122.28</v>
      </c>
      <c r="P607" s="32">
        <f t="shared" si="74"/>
        <v>199.28</v>
      </c>
      <c r="Q607" s="32">
        <f t="shared" si="75"/>
        <v>1200.72</v>
      </c>
    </row>
    <row r="608" spans="1:17" s="29" customFormat="1" ht="20.100000000000001" customHeight="1" x14ac:dyDescent="0.3">
      <c r="A608" s="9">
        <v>606</v>
      </c>
      <c r="B608" s="29" t="s">
        <v>1289</v>
      </c>
      <c r="C608" s="29" t="s">
        <v>1290</v>
      </c>
      <c r="D608" s="29" t="s">
        <v>1268</v>
      </c>
      <c r="E608" s="10">
        <v>46174</v>
      </c>
      <c r="F608" s="10">
        <v>46356</v>
      </c>
      <c r="G608" s="31">
        <v>1400</v>
      </c>
      <c r="H608" s="32">
        <v>1400</v>
      </c>
      <c r="I608" s="33">
        <v>1</v>
      </c>
      <c r="J608" s="32">
        <f t="shared" si="76"/>
        <v>1400</v>
      </c>
      <c r="K608" s="32">
        <f t="shared" si="77"/>
        <v>77</v>
      </c>
      <c r="L608" s="32">
        <f t="shared" si="78"/>
        <v>182</v>
      </c>
      <c r="M608" s="32">
        <f t="shared" si="79"/>
        <v>1582</v>
      </c>
      <c r="N608" s="32">
        <f t="shared" si="80"/>
        <v>1323</v>
      </c>
      <c r="O608" s="32">
        <v>122.28</v>
      </c>
      <c r="P608" s="32">
        <f t="shared" si="74"/>
        <v>199.28</v>
      </c>
      <c r="Q608" s="32">
        <f t="shared" si="75"/>
        <v>1200.72</v>
      </c>
    </row>
    <row r="609" spans="1:17" s="29" customFormat="1" ht="20.100000000000001" customHeight="1" x14ac:dyDescent="0.3">
      <c r="A609" s="9">
        <v>607</v>
      </c>
      <c r="B609" s="29" t="s">
        <v>1291</v>
      </c>
      <c r="C609" s="29" t="s">
        <v>1292</v>
      </c>
      <c r="D609" s="29" t="s">
        <v>1268</v>
      </c>
      <c r="E609" s="10">
        <v>46174</v>
      </c>
      <c r="F609" s="10">
        <v>46356</v>
      </c>
      <c r="G609" s="31">
        <v>1400</v>
      </c>
      <c r="H609" s="32">
        <v>1400</v>
      </c>
      <c r="I609" s="33">
        <v>1</v>
      </c>
      <c r="J609" s="32">
        <f t="shared" si="76"/>
        <v>1400</v>
      </c>
      <c r="K609" s="32">
        <f t="shared" si="77"/>
        <v>77</v>
      </c>
      <c r="L609" s="32">
        <f t="shared" si="78"/>
        <v>182</v>
      </c>
      <c r="M609" s="32">
        <f t="shared" si="79"/>
        <v>1582</v>
      </c>
      <c r="N609" s="32">
        <f t="shared" si="80"/>
        <v>1323</v>
      </c>
      <c r="O609" s="32">
        <v>122.28</v>
      </c>
      <c r="P609" s="32">
        <f t="shared" si="74"/>
        <v>199.28</v>
      </c>
      <c r="Q609" s="32">
        <f t="shared" si="75"/>
        <v>1200.72</v>
      </c>
    </row>
    <row r="610" spans="1:17" s="29" customFormat="1" ht="20.100000000000001" customHeight="1" x14ac:dyDescent="0.3">
      <c r="A610" s="9">
        <v>608</v>
      </c>
      <c r="B610" s="29" t="s">
        <v>1293</v>
      </c>
      <c r="C610" s="29" t="s">
        <v>1294</v>
      </c>
      <c r="D610" s="29" t="s">
        <v>821</v>
      </c>
      <c r="E610" s="10">
        <v>46204</v>
      </c>
      <c r="F610" s="10">
        <v>46386</v>
      </c>
      <c r="G610" s="31">
        <v>1400</v>
      </c>
      <c r="H610" s="32">
        <v>1400</v>
      </c>
      <c r="I610" s="33">
        <v>1</v>
      </c>
      <c r="J610" s="32">
        <f t="shared" si="76"/>
        <v>1400</v>
      </c>
      <c r="K610" s="32">
        <f t="shared" si="77"/>
        <v>77</v>
      </c>
      <c r="L610" s="32">
        <f t="shared" si="78"/>
        <v>182</v>
      </c>
      <c r="M610" s="32">
        <f t="shared" si="79"/>
        <v>1582</v>
      </c>
      <c r="N610" s="32">
        <f t="shared" si="80"/>
        <v>1323</v>
      </c>
      <c r="O610" s="32">
        <v>122.28</v>
      </c>
      <c r="P610" s="32">
        <f t="shared" si="74"/>
        <v>199.28</v>
      </c>
      <c r="Q610" s="32">
        <f t="shared" si="75"/>
        <v>1200.72</v>
      </c>
    </row>
    <row r="611" spans="1:17" s="29" customFormat="1" ht="20.100000000000001" customHeight="1" x14ac:dyDescent="0.3">
      <c r="A611" s="9">
        <v>609</v>
      </c>
      <c r="B611" s="29" t="s">
        <v>1295</v>
      </c>
      <c r="C611" s="29" t="s">
        <v>1296</v>
      </c>
      <c r="D611" s="29" t="s">
        <v>821</v>
      </c>
      <c r="E611" s="10">
        <v>46204</v>
      </c>
      <c r="F611" s="10">
        <v>46386</v>
      </c>
      <c r="G611" s="31">
        <v>1400</v>
      </c>
      <c r="H611" s="32">
        <v>1400</v>
      </c>
      <c r="I611" s="33">
        <v>1</v>
      </c>
      <c r="J611" s="32">
        <f t="shared" si="76"/>
        <v>1400</v>
      </c>
      <c r="K611" s="32">
        <f t="shared" si="77"/>
        <v>77</v>
      </c>
      <c r="L611" s="32">
        <f t="shared" si="78"/>
        <v>182</v>
      </c>
      <c r="M611" s="32">
        <f t="shared" si="79"/>
        <v>1582</v>
      </c>
      <c r="N611" s="32">
        <f t="shared" si="80"/>
        <v>1323</v>
      </c>
      <c r="O611" s="32">
        <v>122.28</v>
      </c>
      <c r="P611" s="32">
        <f t="shared" si="74"/>
        <v>199.28</v>
      </c>
      <c r="Q611" s="32">
        <f t="shared" si="75"/>
        <v>1200.72</v>
      </c>
    </row>
    <row r="612" spans="1:17" s="29" customFormat="1" ht="20.100000000000001" customHeight="1" x14ac:dyDescent="0.3">
      <c r="A612" s="9">
        <v>610</v>
      </c>
      <c r="B612" s="29" t="s">
        <v>1297</v>
      </c>
      <c r="C612" s="29" t="s">
        <v>1298</v>
      </c>
      <c r="D612" s="29" t="s">
        <v>796</v>
      </c>
      <c r="E612" s="30">
        <v>46143</v>
      </c>
      <c r="F612" s="30">
        <v>46325</v>
      </c>
      <c r="G612" s="31">
        <v>1400</v>
      </c>
      <c r="H612" s="32">
        <v>1400</v>
      </c>
      <c r="I612" s="33">
        <v>1</v>
      </c>
      <c r="J612" s="32">
        <f t="shared" si="76"/>
        <v>1400</v>
      </c>
      <c r="K612" s="32">
        <f t="shared" si="77"/>
        <v>77</v>
      </c>
      <c r="L612" s="32">
        <f t="shared" si="78"/>
        <v>182</v>
      </c>
      <c r="M612" s="32">
        <f t="shared" si="79"/>
        <v>1582</v>
      </c>
      <c r="N612" s="32">
        <f t="shared" si="80"/>
        <v>1323</v>
      </c>
      <c r="O612" s="32">
        <v>122.28</v>
      </c>
      <c r="P612" s="32">
        <f t="shared" si="74"/>
        <v>199.28</v>
      </c>
      <c r="Q612" s="32">
        <f t="shared" si="75"/>
        <v>1200.72</v>
      </c>
    </row>
    <row r="613" spans="1:17" s="29" customFormat="1" ht="20.100000000000001" customHeight="1" x14ac:dyDescent="0.3">
      <c r="A613" s="9">
        <v>611</v>
      </c>
      <c r="B613" s="29" t="s">
        <v>1299</v>
      </c>
      <c r="C613" s="29" t="s">
        <v>1300</v>
      </c>
      <c r="D613" s="29" t="s">
        <v>353</v>
      </c>
      <c r="E613" s="30">
        <v>46143</v>
      </c>
      <c r="F613" s="30">
        <v>46325</v>
      </c>
      <c r="G613" s="31">
        <v>1400</v>
      </c>
      <c r="H613" s="32">
        <v>1400</v>
      </c>
      <c r="I613" s="33">
        <v>1</v>
      </c>
      <c r="J613" s="32">
        <f t="shared" si="76"/>
        <v>1400</v>
      </c>
      <c r="K613" s="32">
        <f t="shared" si="77"/>
        <v>77</v>
      </c>
      <c r="L613" s="32">
        <f t="shared" si="78"/>
        <v>182</v>
      </c>
      <c r="M613" s="32">
        <f t="shared" si="79"/>
        <v>1582</v>
      </c>
      <c r="N613" s="32">
        <f t="shared" si="80"/>
        <v>1323</v>
      </c>
      <c r="O613" s="32">
        <v>122.28</v>
      </c>
      <c r="P613" s="32">
        <f t="shared" si="74"/>
        <v>199.28</v>
      </c>
      <c r="Q613" s="32">
        <f t="shared" si="75"/>
        <v>1200.72</v>
      </c>
    </row>
    <row r="614" spans="1:17" s="29" customFormat="1" ht="20.100000000000001" customHeight="1" x14ac:dyDescent="0.3">
      <c r="A614" s="9">
        <v>612</v>
      </c>
      <c r="B614" s="29" t="s">
        <v>1301</v>
      </c>
      <c r="C614" s="29" t="s">
        <v>1302</v>
      </c>
      <c r="D614" s="29" t="s">
        <v>1064</v>
      </c>
      <c r="E614" s="34">
        <v>46143</v>
      </c>
      <c r="F614" s="34">
        <v>46325</v>
      </c>
      <c r="G614" s="31">
        <v>1400</v>
      </c>
      <c r="H614" s="32">
        <v>1400</v>
      </c>
      <c r="I614" s="33">
        <v>1</v>
      </c>
      <c r="J614" s="32">
        <f t="shared" si="76"/>
        <v>1400</v>
      </c>
      <c r="K614" s="32">
        <f t="shared" si="77"/>
        <v>77</v>
      </c>
      <c r="L614" s="32">
        <f t="shared" si="78"/>
        <v>182</v>
      </c>
      <c r="M614" s="32">
        <f t="shared" si="79"/>
        <v>1582</v>
      </c>
      <c r="N614" s="32">
        <f t="shared" si="80"/>
        <v>1323</v>
      </c>
      <c r="O614" s="32">
        <v>122.28</v>
      </c>
      <c r="P614" s="32">
        <f t="shared" si="74"/>
        <v>199.28</v>
      </c>
      <c r="Q614" s="32">
        <f t="shared" si="75"/>
        <v>1200.72</v>
      </c>
    </row>
    <row r="615" spans="1:17" s="29" customFormat="1" ht="20.100000000000001" customHeight="1" x14ac:dyDescent="0.3">
      <c r="A615" s="9">
        <v>613</v>
      </c>
      <c r="B615" s="35" t="s">
        <v>1303</v>
      </c>
      <c r="C615" s="29" t="s">
        <v>1304</v>
      </c>
      <c r="D615" s="29" t="s">
        <v>1064</v>
      </c>
      <c r="E615" s="34">
        <v>46143</v>
      </c>
      <c r="F615" s="34">
        <v>46325</v>
      </c>
      <c r="G615" s="31">
        <v>1400</v>
      </c>
      <c r="H615" s="32">
        <v>1400</v>
      </c>
      <c r="I615" s="33">
        <v>1</v>
      </c>
      <c r="J615" s="32">
        <f t="shared" si="76"/>
        <v>1400</v>
      </c>
      <c r="K615" s="32">
        <f t="shared" si="77"/>
        <v>77</v>
      </c>
      <c r="L615" s="32">
        <f t="shared" si="78"/>
        <v>182</v>
      </c>
      <c r="M615" s="32">
        <f t="shared" si="79"/>
        <v>1582</v>
      </c>
      <c r="N615" s="32">
        <f t="shared" si="80"/>
        <v>1323</v>
      </c>
      <c r="O615" s="32">
        <v>122.28</v>
      </c>
      <c r="P615" s="32">
        <f t="shared" si="74"/>
        <v>199.28</v>
      </c>
      <c r="Q615" s="32">
        <f t="shared" si="75"/>
        <v>1200.72</v>
      </c>
    </row>
    <row r="616" spans="1:17" s="29" customFormat="1" ht="20.100000000000001" customHeight="1" x14ac:dyDescent="0.3">
      <c r="A616" s="9">
        <v>614</v>
      </c>
      <c r="B616" s="35" t="s">
        <v>1305</v>
      </c>
      <c r="C616" s="29" t="s">
        <v>1306</v>
      </c>
      <c r="D616" s="29" t="s">
        <v>1064</v>
      </c>
      <c r="E616" s="34">
        <v>46143</v>
      </c>
      <c r="F616" s="34">
        <v>46325</v>
      </c>
      <c r="G616" s="31">
        <v>1400</v>
      </c>
      <c r="H616" s="32">
        <v>1400</v>
      </c>
      <c r="I616" s="33">
        <v>1</v>
      </c>
      <c r="J616" s="32">
        <f t="shared" si="76"/>
        <v>1400</v>
      </c>
      <c r="K616" s="32">
        <f t="shared" si="77"/>
        <v>77</v>
      </c>
      <c r="L616" s="32">
        <f t="shared" si="78"/>
        <v>182</v>
      </c>
      <c r="M616" s="32">
        <f t="shared" si="79"/>
        <v>1582</v>
      </c>
      <c r="N616" s="32">
        <f t="shared" si="80"/>
        <v>1323</v>
      </c>
      <c r="O616" s="32">
        <v>122.28</v>
      </c>
      <c r="P616" s="32">
        <f t="shared" si="74"/>
        <v>199.28</v>
      </c>
      <c r="Q616" s="32">
        <f t="shared" si="75"/>
        <v>1200.72</v>
      </c>
    </row>
    <row r="617" spans="1:17" s="29" customFormat="1" x14ac:dyDescent="0.3">
      <c r="A617" s="9">
        <v>615</v>
      </c>
      <c r="B617" s="29" t="s">
        <v>1307</v>
      </c>
      <c r="C617" s="29" t="s">
        <v>1308</v>
      </c>
      <c r="D617" s="29" t="s">
        <v>166</v>
      </c>
      <c r="E617" s="10">
        <v>46204</v>
      </c>
      <c r="F617" s="10">
        <v>46386</v>
      </c>
      <c r="G617" s="31">
        <v>1400</v>
      </c>
      <c r="H617" s="32">
        <v>1400</v>
      </c>
      <c r="I617" s="33">
        <v>1</v>
      </c>
      <c r="J617" s="32">
        <f t="shared" si="76"/>
        <v>1400</v>
      </c>
      <c r="K617" s="32">
        <f t="shared" si="77"/>
        <v>77</v>
      </c>
      <c r="L617" s="32">
        <f t="shared" si="78"/>
        <v>182</v>
      </c>
      <c r="M617" s="32">
        <f t="shared" si="79"/>
        <v>1582</v>
      </c>
      <c r="N617" s="32">
        <f t="shared" si="80"/>
        <v>1323</v>
      </c>
      <c r="O617" s="32">
        <v>122.28</v>
      </c>
      <c r="P617" s="32">
        <f t="shared" si="74"/>
        <v>199.28</v>
      </c>
      <c r="Q617" s="32">
        <f t="shared" si="75"/>
        <v>1200.72</v>
      </c>
    </row>
    <row r="618" spans="1:17" s="29" customFormat="1" x14ac:dyDescent="0.3">
      <c r="A618" s="9">
        <v>616</v>
      </c>
      <c r="B618" s="29" t="s">
        <v>1309</v>
      </c>
      <c r="C618" s="29" t="s">
        <v>1310</v>
      </c>
      <c r="D618" s="29" t="s">
        <v>192</v>
      </c>
      <c r="E618" s="30">
        <v>46174</v>
      </c>
      <c r="F618" s="30">
        <v>46356</v>
      </c>
      <c r="G618" s="31">
        <v>1400</v>
      </c>
      <c r="H618" s="32">
        <v>1400</v>
      </c>
      <c r="I618" s="33">
        <v>1</v>
      </c>
      <c r="J618" s="32">
        <f t="shared" si="76"/>
        <v>1400</v>
      </c>
      <c r="K618" s="32">
        <f t="shared" si="77"/>
        <v>77</v>
      </c>
      <c r="L618" s="32">
        <f t="shared" si="78"/>
        <v>182</v>
      </c>
      <c r="M618" s="32">
        <f t="shared" si="79"/>
        <v>1582</v>
      </c>
      <c r="N618" s="32">
        <f t="shared" si="80"/>
        <v>1323</v>
      </c>
      <c r="O618" s="32">
        <v>122.28</v>
      </c>
      <c r="P618" s="32">
        <f t="shared" si="74"/>
        <v>199.28</v>
      </c>
      <c r="Q618" s="32">
        <f t="shared" si="75"/>
        <v>1200.72</v>
      </c>
    </row>
    <row r="619" spans="1:17" s="29" customFormat="1" x14ac:dyDescent="0.3">
      <c r="A619" s="9">
        <v>617</v>
      </c>
      <c r="B619" s="29" t="s">
        <v>1311</v>
      </c>
      <c r="C619" s="29" t="s">
        <v>1312</v>
      </c>
      <c r="D619" s="29" t="s">
        <v>307</v>
      </c>
      <c r="E619" s="10">
        <v>46174</v>
      </c>
      <c r="F619" s="10">
        <v>46356</v>
      </c>
      <c r="G619" s="31">
        <v>1400</v>
      </c>
      <c r="H619" s="32">
        <v>1400</v>
      </c>
      <c r="I619" s="33">
        <v>1</v>
      </c>
      <c r="J619" s="32">
        <f t="shared" si="76"/>
        <v>1400</v>
      </c>
      <c r="K619" s="32">
        <f t="shared" si="77"/>
        <v>77</v>
      </c>
      <c r="L619" s="32">
        <f t="shared" si="78"/>
        <v>182</v>
      </c>
      <c r="M619" s="32">
        <f t="shared" si="79"/>
        <v>1582</v>
      </c>
      <c r="N619" s="32">
        <f t="shared" si="80"/>
        <v>1323</v>
      </c>
      <c r="O619" s="32">
        <v>122.28</v>
      </c>
      <c r="P619" s="32">
        <f t="shared" si="74"/>
        <v>199.28</v>
      </c>
      <c r="Q619" s="32">
        <f t="shared" si="75"/>
        <v>1200.72</v>
      </c>
    </row>
    <row r="620" spans="1:17" s="29" customFormat="1" x14ac:dyDescent="0.3">
      <c r="A620" s="9">
        <v>618</v>
      </c>
      <c r="B620" s="29" t="s">
        <v>1313</v>
      </c>
      <c r="C620" s="29" t="s">
        <v>1314</v>
      </c>
      <c r="D620" s="29" t="s">
        <v>1315</v>
      </c>
      <c r="E620" s="10">
        <v>46204</v>
      </c>
      <c r="F620" s="10">
        <v>46386</v>
      </c>
      <c r="G620" s="31">
        <v>1400</v>
      </c>
      <c r="H620" s="32">
        <v>1400</v>
      </c>
      <c r="I620" s="33">
        <v>1</v>
      </c>
      <c r="J620" s="32">
        <f t="shared" si="76"/>
        <v>1400</v>
      </c>
      <c r="K620" s="32">
        <f t="shared" si="77"/>
        <v>77</v>
      </c>
      <c r="L620" s="32">
        <f t="shared" si="78"/>
        <v>182</v>
      </c>
      <c r="M620" s="32">
        <f t="shared" si="79"/>
        <v>1582</v>
      </c>
      <c r="N620" s="32">
        <f t="shared" si="80"/>
        <v>1323</v>
      </c>
      <c r="O620" s="32">
        <v>122.28</v>
      </c>
      <c r="P620" s="32">
        <f t="shared" si="74"/>
        <v>199.28</v>
      </c>
      <c r="Q620" s="32">
        <f t="shared" si="75"/>
        <v>1200.72</v>
      </c>
    </row>
    <row r="621" spans="1:17" s="21" customFormat="1" x14ac:dyDescent="0.3">
      <c r="A621" s="9">
        <v>619</v>
      </c>
      <c r="B621" s="29" t="s">
        <v>1316</v>
      </c>
      <c r="C621" s="29" t="s">
        <v>1317</v>
      </c>
      <c r="D621" s="29" t="s">
        <v>905</v>
      </c>
      <c r="E621" s="10">
        <v>46174</v>
      </c>
      <c r="F621" s="10">
        <v>46356</v>
      </c>
      <c r="G621" s="31">
        <v>1400</v>
      </c>
      <c r="H621" s="32">
        <v>1400</v>
      </c>
      <c r="I621" s="33">
        <v>1</v>
      </c>
      <c r="J621" s="32">
        <f t="shared" si="76"/>
        <v>1400</v>
      </c>
      <c r="K621" s="32">
        <f t="shared" si="77"/>
        <v>77</v>
      </c>
      <c r="L621" s="32">
        <f t="shared" si="78"/>
        <v>182</v>
      </c>
      <c r="M621" s="32">
        <f t="shared" si="79"/>
        <v>1582</v>
      </c>
      <c r="N621" s="32">
        <f t="shared" si="80"/>
        <v>1323</v>
      </c>
      <c r="O621" s="32">
        <v>122.28</v>
      </c>
      <c r="P621" s="32">
        <f t="shared" si="74"/>
        <v>199.28</v>
      </c>
      <c r="Q621" s="32">
        <f t="shared" si="75"/>
        <v>1200.72</v>
      </c>
    </row>
    <row r="622" spans="1:17" s="21" customFormat="1" x14ac:dyDescent="0.3">
      <c r="A622" s="9">
        <v>620</v>
      </c>
      <c r="B622" s="29" t="s">
        <v>1318</v>
      </c>
      <c r="C622" s="29" t="s">
        <v>1319</v>
      </c>
      <c r="D622" s="29" t="s">
        <v>905</v>
      </c>
      <c r="E622" s="10">
        <v>46174</v>
      </c>
      <c r="F622" s="10">
        <v>46356</v>
      </c>
      <c r="G622" s="31">
        <v>1400</v>
      </c>
      <c r="H622" s="32">
        <v>1400</v>
      </c>
      <c r="I622" s="33">
        <v>1</v>
      </c>
      <c r="J622" s="32">
        <f t="shared" si="76"/>
        <v>1400</v>
      </c>
      <c r="K622" s="32">
        <f t="shared" si="77"/>
        <v>77</v>
      </c>
      <c r="L622" s="32">
        <f t="shared" si="78"/>
        <v>182</v>
      </c>
      <c r="M622" s="32">
        <f t="shared" si="79"/>
        <v>1582</v>
      </c>
      <c r="N622" s="32">
        <f t="shared" si="80"/>
        <v>1323</v>
      </c>
      <c r="O622" s="32">
        <v>122.28</v>
      </c>
      <c r="P622" s="32">
        <f t="shared" si="74"/>
        <v>199.28</v>
      </c>
      <c r="Q622" s="32">
        <f t="shared" si="75"/>
        <v>1200.72</v>
      </c>
    </row>
    <row r="623" spans="1:17" s="21" customFormat="1" ht="16.5" customHeight="1" x14ac:dyDescent="0.3">
      <c r="A623" s="9">
        <v>621</v>
      </c>
      <c r="B623" s="29" t="s">
        <v>1320</v>
      </c>
      <c r="C623" s="29" t="s">
        <v>1321</v>
      </c>
      <c r="D623" s="29" t="s">
        <v>905</v>
      </c>
      <c r="E623" s="10">
        <v>46174</v>
      </c>
      <c r="F623" s="10">
        <v>46356</v>
      </c>
      <c r="G623" s="31">
        <v>1400</v>
      </c>
      <c r="H623" s="32">
        <v>1400</v>
      </c>
      <c r="I623" s="33">
        <v>1</v>
      </c>
      <c r="J623" s="32">
        <f t="shared" si="76"/>
        <v>1400</v>
      </c>
      <c r="K623" s="32">
        <f t="shared" si="77"/>
        <v>77</v>
      </c>
      <c r="L623" s="32">
        <f t="shared" si="78"/>
        <v>182</v>
      </c>
      <c r="M623" s="32">
        <f t="shared" si="79"/>
        <v>1582</v>
      </c>
      <c r="N623" s="32">
        <f t="shared" si="80"/>
        <v>1323</v>
      </c>
      <c r="O623" s="32">
        <v>122.28</v>
      </c>
      <c r="P623" s="32">
        <f t="shared" si="74"/>
        <v>199.28</v>
      </c>
      <c r="Q623" s="32">
        <f t="shared" si="75"/>
        <v>1200.72</v>
      </c>
    </row>
    <row r="624" spans="1:17" s="21" customFormat="1" x14ac:dyDescent="0.3">
      <c r="A624" s="9">
        <v>622</v>
      </c>
      <c r="B624" s="29" t="s">
        <v>1322</v>
      </c>
      <c r="C624" s="29" t="s">
        <v>1323</v>
      </c>
      <c r="D624" s="29" t="s">
        <v>905</v>
      </c>
      <c r="E624" s="10">
        <v>46174</v>
      </c>
      <c r="F624" s="10">
        <v>46356</v>
      </c>
      <c r="G624" s="31">
        <v>1400</v>
      </c>
      <c r="H624" s="32">
        <v>1400</v>
      </c>
      <c r="I624" s="33">
        <v>1</v>
      </c>
      <c r="J624" s="32">
        <f t="shared" si="76"/>
        <v>1400</v>
      </c>
      <c r="K624" s="32">
        <f t="shared" si="77"/>
        <v>77</v>
      </c>
      <c r="L624" s="32">
        <f t="shared" si="78"/>
        <v>182</v>
      </c>
      <c r="M624" s="32">
        <f t="shared" si="79"/>
        <v>1582</v>
      </c>
      <c r="N624" s="32">
        <f t="shared" si="80"/>
        <v>1323</v>
      </c>
      <c r="O624" s="32">
        <v>122.28</v>
      </c>
      <c r="P624" s="32">
        <f t="shared" si="74"/>
        <v>199.28</v>
      </c>
      <c r="Q624" s="32">
        <f t="shared" si="75"/>
        <v>1200.72</v>
      </c>
    </row>
    <row r="625" spans="1:157" s="21" customFormat="1" x14ac:dyDescent="0.3">
      <c r="A625" s="9">
        <v>623</v>
      </c>
      <c r="B625" s="29" t="s">
        <v>1324</v>
      </c>
      <c r="C625" s="29" t="s">
        <v>1325</v>
      </c>
      <c r="D625" s="29" t="s">
        <v>905</v>
      </c>
      <c r="E625" s="10">
        <v>46174</v>
      </c>
      <c r="F625" s="10">
        <v>46356</v>
      </c>
      <c r="G625" s="31">
        <v>1400</v>
      </c>
      <c r="H625" s="32">
        <v>1400</v>
      </c>
      <c r="I625" s="33">
        <v>1</v>
      </c>
      <c r="J625" s="32">
        <f t="shared" si="76"/>
        <v>1400</v>
      </c>
      <c r="K625" s="32">
        <f t="shared" si="77"/>
        <v>77</v>
      </c>
      <c r="L625" s="32">
        <f t="shared" si="78"/>
        <v>182</v>
      </c>
      <c r="M625" s="32">
        <f t="shared" si="79"/>
        <v>1582</v>
      </c>
      <c r="N625" s="32">
        <f t="shared" si="80"/>
        <v>1323</v>
      </c>
      <c r="O625" s="32">
        <v>122.28</v>
      </c>
      <c r="P625" s="32">
        <f t="shared" si="74"/>
        <v>199.28</v>
      </c>
      <c r="Q625" s="32">
        <f t="shared" si="75"/>
        <v>1200.72</v>
      </c>
    </row>
    <row r="626" spans="1:157" s="21" customFormat="1" ht="23.25" customHeight="1" x14ac:dyDescent="0.3">
      <c r="A626" s="9">
        <v>624</v>
      </c>
      <c r="B626" s="29" t="s">
        <v>1326</v>
      </c>
      <c r="C626" s="29" t="s">
        <v>1327</v>
      </c>
      <c r="D626" s="29" t="s">
        <v>905</v>
      </c>
      <c r="E626" s="10">
        <v>46174</v>
      </c>
      <c r="F626" s="10">
        <v>46356</v>
      </c>
      <c r="G626" s="31">
        <v>1400</v>
      </c>
      <c r="H626" s="32">
        <v>1400</v>
      </c>
      <c r="I626" s="33">
        <v>1</v>
      </c>
      <c r="J626" s="32">
        <f t="shared" si="76"/>
        <v>1400</v>
      </c>
      <c r="K626" s="32">
        <f t="shared" si="77"/>
        <v>77</v>
      </c>
      <c r="L626" s="32">
        <f t="shared" si="78"/>
        <v>182</v>
      </c>
      <c r="M626" s="32">
        <f t="shared" si="79"/>
        <v>1582</v>
      </c>
      <c r="N626" s="32">
        <f t="shared" si="80"/>
        <v>1323</v>
      </c>
      <c r="O626" s="32">
        <v>122.28</v>
      </c>
      <c r="P626" s="32">
        <f t="shared" si="74"/>
        <v>199.28</v>
      </c>
      <c r="Q626" s="32">
        <f t="shared" si="75"/>
        <v>1200.72</v>
      </c>
    </row>
    <row r="627" spans="1:157" s="21" customFormat="1" ht="25.5" customHeight="1" x14ac:dyDescent="0.3">
      <c r="A627" s="9">
        <v>625</v>
      </c>
      <c r="B627" s="29" t="s">
        <v>1328</v>
      </c>
      <c r="C627" s="29" t="s">
        <v>1329</v>
      </c>
      <c r="D627" s="29" t="s">
        <v>905</v>
      </c>
      <c r="E627" s="10">
        <v>46174</v>
      </c>
      <c r="F627" s="10">
        <v>46356</v>
      </c>
      <c r="G627" s="31">
        <v>1400</v>
      </c>
      <c r="H627" s="32">
        <v>1400</v>
      </c>
      <c r="I627" s="33">
        <v>1</v>
      </c>
      <c r="J627" s="32">
        <f t="shared" si="76"/>
        <v>1400</v>
      </c>
      <c r="K627" s="32">
        <f t="shared" si="77"/>
        <v>77</v>
      </c>
      <c r="L627" s="32">
        <f t="shared" si="78"/>
        <v>182</v>
      </c>
      <c r="M627" s="32">
        <f t="shared" si="79"/>
        <v>1582</v>
      </c>
      <c r="N627" s="32">
        <f t="shared" si="80"/>
        <v>1323</v>
      </c>
      <c r="O627" s="32">
        <v>122.28</v>
      </c>
      <c r="P627" s="32">
        <f t="shared" si="74"/>
        <v>199.28</v>
      </c>
      <c r="Q627" s="32">
        <f t="shared" si="75"/>
        <v>1200.72</v>
      </c>
    </row>
    <row r="628" spans="1:157" s="21" customFormat="1" ht="24.75" customHeight="1" x14ac:dyDescent="0.3">
      <c r="A628" s="9">
        <v>626</v>
      </c>
      <c r="B628" s="29" t="s">
        <v>1330</v>
      </c>
      <c r="C628" s="29" t="s">
        <v>1331</v>
      </c>
      <c r="D628" s="29" t="s">
        <v>905</v>
      </c>
      <c r="E628" s="10">
        <v>46174</v>
      </c>
      <c r="F628" s="10">
        <v>46356</v>
      </c>
      <c r="G628" s="31">
        <v>1400</v>
      </c>
      <c r="H628" s="32">
        <v>1400</v>
      </c>
      <c r="I628" s="33">
        <v>1</v>
      </c>
      <c r="J628" s="32">
        <f t="shared" si="76"/>
        <v>1400</v>
      </c>
      <c r="K628" s="32">
        <f t="shared" si="77"/>
        <v>77</v>
      </c>
      <c r="L628" s="32">
        <f t="shared" si="78"/>
        <v>182</v>
      </c>
      <c r="M628" s="32">
        <f t="shared" si="79"/>
        <v>1582</v>
      </c>
      <c r="N628" s="32">
        <f t="shared" si="80"/>
        <v>1323</v>
      </c>
      <c r="O628" s="32">
        <v>122.28</v>
      </c>
      <c r="P628" s="32">
        <f t="shared" si="74"/>
        <v>199.28</v>
      </c>
      <c r="Q628" s="32">
        <f t="shared" si="75"/>
        <v>1200.72</v>
      </c>
    </row>
    <row r="629" spans="1:157" s="29" customFormat="1" x14ac:dyDescent="0.3">
      <c r="A629" s="9">
        <v>627</v>
      </c>
      <c r="B629" s="29" t="s">
        <v>1332</v>
      </c>
      <c r="C629" s="29" t="s">
        <v>1333</v>
      </c>
      <c r="D629" s="29" t="s">
        <v>353</v>
      </c>
      <c r="E629" s="10">
        <v>46204</v>
      </c>
      <c r="F629" s="10">
        <v>46386</v>
      </c>
      <c r="G629" s="31">
        <v>1400</v>
      </c>
      <c r="H629" s="32">
        <v>1400</v>
      </c>
      <c r="I629" s="33">
        <v>1</v>
      </c>
      <c r="J629" s="32">
        <f t="shared" si="76"/>
        <v>1400</v>
      </c>
      <c r="K629" s="32">
        <f t="shared" si="77"/>
        <v>77</v>
      </c>
      <c r="L629" s="32">
        <f t="shared" si="78"/>
        <v>182</v>
      </c>
      <c r="M629" s="32">
        <f t="shared" si="79"/>
        <v>1582</v>
      </c>
      <c r="N629" s="32">
        <f t="shared" si="80"/>
        <v>1323</v>
      </c>
      <c r="O629" s="32">
        <v>122.28</v>
      </c>
      <c r="P629" s="32">
        <f t="shared" si="74"/>
        <v>199.28</v>
      </c>
      <c r="Q629" s="32">
        <f t="shared" si="75"/>
        <v>1200.72</v>
      </c>
    </row>
    <row r="630" spans="1:157" s="9" customFormat="1" x14ac:dyDescent="0.3">
      <c r="A630" s="9">
        <v>628</v>
      </c>
      <c r="B630" s="9" t="s">
        <v>1334</v>
      </c>
      <c r="C630" s="9" t="s">
        <v>1335</v>
      </c>
      <c r="D630" s="9" t="s">
        <v>496</v>
      </c>
      <c r="E630" s="10">
        <v>46204</v>
      </c>
      <c r="F630" s="10">
        <v>46386</v>
      </c>
      <c r="G630" s="11">
        <v>1400</v>
      </c>
      <c r="H630" s="12">
        <v>1400</v>
      </c>
      <c r="I630" s="13">
        <v>1</v>
      </c>
      <c r="J630" s="12">
        <f t="shared" si="76"/>
        <v>1400</v>
      </c>
      <c r="K630" s="12">
        <f t="shared" si="77"/>
        <v>77</v>
      </c>
      <c r="L630" s="12">
        <f t="shared" si="78"/>
        <v>182</v>
      </c>
      <c r="M630" s="12">
        <f t="shared" si="79"/>
        <v>1582</v>
      </c>
      <c r="N630" s="12">
        <f t="shared" si="80"/>
        <v>1323</v>
      </c>
      <c r="O630" s="12">
        <v>122.28</v>
      </c>
      <c r="P630" s="12">
        <f t="shared" si="74"/>
        <v>199.28</v>
      </c>
      <c r="Q630" s="12">
        <f t="shared" si="75"/>
        <v>1200.72</v>
      </c>
    </row>
    <row r="631" spans="1:157" s="9" customFormat="1" x14ac:dyDescent="0.3">
      <c r="A631" s="9">
        <v>629</v>
      </c>
      <c r="B631" s="9" t="s">
        <v>1336</v>
      </c>
      <c r="C631" s="9" t="s">
        <v>1337</v>
      </c>
      <c r="D631" s="9" t="s">
        <v>496</v>
      </c>
      <c r="E631" s="10">
        <v>46204</v>
      </c>
      <c r="F631" s="10">
        <v>46386</v>
      </c>
      <c r="G631" s="11">
        <v>1400</v>
      </c>
      <c r="H631" s="12">
        <v>1400</v>
      </c>
      <c r="I631" s="13">
        <v>1</v>
      </c>
      <c r="J631" s="12">
        <f t="shared" si="76"/>
        <v>1400</v>
      </c>
      <c r="K631" s="12">
        <f t="shared" si="77"/>
        <v>77</v>
      </c>
      <c r="L631" s="12">
        <f t="shared" si="78"/>
        <v>182</v>
      </c>
      <c r="M631" s="12">
        <f t="shared" si="79"/>
        <v>1582</v>
      </c>
      <c r="N631" s="12">
        <f t="shared" si="80"/>
        <v>1323</v>
      </c>
      <c r="O631" s="12">
        <v>122.28</v>
      </c>
      <c r="P631" s="12">
        <f t="shared" si="74"/>
        <v>199.28</v>
      </c>
      <c r="Q631" s="12">
        <f t="shared" si="75"/>
        <v>1200.72</v>
      </c>
    </row>
    <row r="632" spans="1:157" s="9" customFormat="1" x14ac:dyDescent="0.3">
      <c r="A632" s="9">
        <v>630</v>
      </c>
      <c r="B632" s="9" t="s">
        <v>1338</v>
      </c>
      <c r="C632" s="9" t="s">
        <v>1339</v>
      </c>
      <c r="D632" s="9" t="s">
        <v>496</v>
      </c>
      <c r="E632" s="30">
        <v>46143</v>
      </c>
      <c r="F632" s="30">
        <v>46325</v>
      </c>
      <c r="G632" s="11">
        <v>1400</v>
      </c>
      <c r="H632" s="12">
        <v>1400</v>
      </c>
      <c r="I632" s="13">
        <v>1</v>
      </c>
      <c r="J632" s="12">
        <f t="shared" si="76"/>
        <v>1400</v>
      </c>
      <c r="K632" s="12">
        <f t="shared" si="77"/>
        <v>77</v>
      </c>
      <c r="L632" s="12">
        <f t="shared" si="78"/>
        <v>182</v>
      </c>
      <c r="M632" s="12">
        <f t="shared" si="79"/>
        <v>1582</v>
      </c>
      <c r="N632" s="12">
        <f t="shared" si="80"/>
        <v>1323</v>
      </c>
      <c r="O632" s="12">
        <v>122.28</v>
      </c>
      <c r="P632" s="12">
        <f t="shared" si="74"/>
        <v>199.28</v>
      </c>
      <c r="Q632" s="12">
        <f t="shared" si="75"/>
        <v>1200.72</v>
      </c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  <c r="DC632" s="18"/>
      <c r="DD632" s="18"/>
      <c r="DE632" s="18"/>
      <c r="DF632" s="18"/>
      <c r="DG632" s="18"/>
      <c r="DH632" s="18"/>
      <c r="DI632" s="18"/>
      <c r="DJ632" s="18"/>
      <c r="DK632" s="18"/>
      <c r="DL632" s="18"/>
      <c r="DM632" s="18"/>
      <c r="DN632" s="18"/>
      <c r="DO632" s="18"/>
      <c r="DP632" s="18"/>
      <c r="DQ632" s="18"/>
      <c r="DR632" s="18"/>
      <c r="DS632" s="18"/>
      <c r="DT632" s="18"/>
      <c r="DU632" s="18"/>
      <c r="DV632" s="18"/>
      <c r="DW632" s="18"/>
      <c r="DX632" s="18"/>
      <c r="DY632" s="18"/>
      <c r="DZ632" s="18"/>
      <c r="EA632" s="18"/>
      <c r="EB632" s="18"/>
      <c r="EC632" s="18"/>
      <c r="ED632" s="18"/>
      <c r="EE632" s="18"/>
      <c r="EF632" s="18"/>
      <c r="EG632" s="18"/>
      <c r="EH632" s="18"/>
      <c r="EI632" s="18"/>
      <c r="EJ632" s="18"/>
      <c r="EK632" s="18"/>
      <c r="EL632" s="18"/>
      <c r="EM632" s="18"/>
      <c r="EN632" s="18"/>
      <c r="EO632" s="18"/>
      <c r="EP632" s="18"/>
      <c r="EQ632" s="18"/>
      <c r="ER632" s="18"/>
      <c r="ES632" s="18"/>
      <c r="ET632" s="18"/>
      <c r="EU632" s="18"/>
      <c r="EV632" s="18"/>
      <c r="EW632" s="18"/>
      <c r="EX632" s="18"/>
      <c r="EY632" s="18"/>
      <c r="EZ632" s="18"/>
      <c r="FA632" s="18"/>
    </row>
    <row r="633" spans="1:157" s="29" customFormat="1" x14ac:dyDescent="0.3">
      <c r="A633" s="9">
        <v>631</v>
      </c>
      <c r="B633" s="29" t="s">
        <v>1340</v>
      </c>
      <c r="C633" s="29" t="s">
        <v>1341</v>
      </c>
      <c r="D633" s="29" t="s">
        <v>496</v>
      </c>
      <c r="E633" s="30">
        <v>46143</v>
      </c>
      <c r="F633" s="30">
        <v>46325</v>
      </c>
      <c r="G633" s="31">
        <v>1400</v>
      </c>
      <c r="H633" s="32">
        <v>1400</v>
      </c>
      <c r="I633" s="33">
        <v>1</v>
      </c>
      <c r="J633" s="32">
        <f t="shared" si="76"/>
        <v>1400</v>
      </c>
      <c r="K633" s="32">
        <f t="shared" si="77"/>
        <v>77</v>
      </c>
      <c r="L633" s="32">
        <f t="shared" si="78"/>
        <v>182</v>
      </c>
      <c r="M633" s="32">
        <f t="shared" si="79"/>
        <v>1582</v>
      </c>
      <c r="N633" s="32">
        <f t="shared" si="80"/>
        <v>1323</v>
      </c>
      <c r="O633" s="32">
        <v>122.28</v>
      </c>
      <c r="P633" s="32">
        <f t="shared" si="74"/>
        <v>199.28</v>
      </c>
      <c r="Q633" s="32">
        <f t="shared" si="75"/>
        <v>1200.72</v>
      </c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  <c r="BR633" s="36"/>
      <c r="BS633" s="36"/>
      <c r="BT633" s="36"/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CL633" s="36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/>
      <c r="CW633" s="36"/>
      <c r="CX633" s="36"/>
      <c r="CY633" s="36"/>
      <c r="CZ633" s="36"/>
      <c r="DA633" s="36"/>
      <c r="DB633" s="36"/>
      <c r="DC633" s="36"/>
      <c r="DD633" s="36"/>
      <c r="DE633" s="36"/>
      <c r="DF633" s="36"/>
      <c r="DG633" s="36"/>
      <c r="DH633" s="36"/>
      <c r="DI633" s="36"/>
      <c r="DJ633" s="36"/>
      <c r="DK633" s="36"/>
      <c r="DL633" s="36"/>
      <c r="DM633" s="36"/>
      <c r="DN633" s="36"/>
      <c r="DO633" s="36"/>
      <c r="DP633" s="36"/>
      <c r="DQ633" s="36"/>
      <c r="DR633" s="36"/>
      <c r="DS633" s="36"/>
      <c r="DT633" s="36"/>
      <c r="DU633" s="36"/>
      <c r="DV633" s="36"/>
      <c r="DW633" s="36"/>
      <c r="DX633" s="36"/>
      <c r="DY633" s="36"/>
      <c r="DZ633" s="36"/>
      <c r="EA633" s="36"/>
      <c r="EB633" s="36"/>
      <c r="EC633" s="36"/>
      <c r="ED633" s="36"/>
      <c r="EE633" s="36"/>
      <c r="EF633" s="36"/>
      <c r="EG633" s="36"/>
      <c r="EH633" s="36"/>
      <c r="EI633" s="36"/>
      <c r="EJ633" s="36"/>
      <c r="EK633" s="36"/>
      <c r="EL633" s="36"/>
      <c r="EM633" s="36"/>
      <c r="EN633" s="36"/>
      <c r="EO633" s="36"/>
      <c r="EP633" s="36"/>
      <c r="EQ633" s="36"/>
      <c r="ER633" s="36"/>
      <c r="ES633" s="36"/>
      <c r="ET633" s="36"/>
      <c r="EU633" s="36"/>
      <c r="EV633" s="36"/>
      <c r="EW633" s="36"/>
      <c r="EX633" s="36"/>
      <c r="EY633" s="36"/>
      <c r="EZ633" s="36"/>
      <c r="FA633" s="36"/>
    </row>
    <row r="634" spans="1:157" s="29" customFormat="1" x14ac:dyDescent="0.3">
      <c r="A634" s="9">
        <v>632</v>
      </c>
      <c r="B634" s="29" t="s">
        <v>1342</v>
      </c>
      <c r="C634" s="29" t="s">
        <v>1343</v>
      </c>
      <c r="D634" s="29" t="s">
        <v>496</v>
      </c>
      <c r="E634" s="30">
        <v>46143</v>
      </c>
      <c r="F634" s="30">
        <v>46325</v>
      </c>
      <c r="G634" s="31">
        <v>1400</v>
      </c>
      <c r="H634" s="32">
        <v>1400</v>
      </c>
      <c r="I634" s="33">
        <v>1</v>
      </c>
      <c r="J634" s="32">
        <f t="shared" si="76"/>
        <v>1400</v>
      </c>
      <c r="K634" s="32">
        <f t="shared" si="77"/>
        <v>77</v>
      </c>
      <c r="L634" s="32">
        <f t="shared" si="78"/>
        <v>182</v>
      </c>
      <c r="M634" s="32">
        <f t="shared" si="79"/>
        <v>1582</v>
      </c>
      <c r="N634" s="32">
        <f t="shared" si="80"/>
        <v>1323</v>
      </c>
      <c r="O634" s="32">
        <v>122.28</v>
      </c>
      <c r="P634" s="32">
        <f t="shared" si="74"/>
        <v>199.28</v>
      </c>
      <c r="Q634" s="32">
        <f t="shared" si="75"/>
        <v>1200.72</v>
      </c>
    </row>
    <row r="635" spans="1:157" s="9" customFormat="1" ht="20.100000000000001" customHeight="1" x14ac:dyDescent="0.3">
      <c r="A635" s="9">
        <v>633</v>
      </c>
      <c r="B635" s="9" t="s">
        <v>1344</v>
      </c>
      <c r="C635" s="9" t="s">
        <v>1345</v>
      </c>
      <c r="D635" s="9" t="s">
        <v>143</v>
      </c>
      <c r="E635" s="15">
        <v>46113</v>
      </c>
      <c r="F635" s="15">
        <v>46266</v>
      </c>
      <c r="G635" s="11">
        <v>1400</v>
      </c>
      <c r="H635" s="12">
        <v>1400</v>
      </c>
      <c r="I635" s="13">
        <v>1</v>
      </c>
      <c r="J635" s="12">
        <f t="shared" si="76"/>
        <v>1400</v>
      </c>
      <c r="K635" s="12">
        <f t="shared" si="77"/>
        <v>77</v>
      </c>
      <c r="L635" s="12">
        <f t="shared" si="78"/>
        <v>182</v>
      </c>
      <c r="M635" s="12">
        <f t="shared" si="79"/>
        <v>1582</v>
      </c>
      <c r="N635" s="12">
        <f t="shared" si="80"/>
        <v>1323</v>
      </c>
      <c r="O635" s="12">
        <v>122.28</v>
      </c>
      <c r="P635" s="12">
        <f t="shared" si="74"/>
        <v>199.28</v>
      </c>
      <c r="Q635" s="12">
        <f t="shared" si="75"/>
        <v>1200.72</v>
      </c>
    </row>
    <row r="636" spans="1:157" s="9" customFormat="1" ht="16.5" customHeight="1" x14ac:dyDescent="0.3">
      <c r="A636" s="9">
        <v>634</v>
      </c>
      <c r="B636" s="9" t="s">
        <v>1346</v>
      </c>
      <c r="C636" s="9" t="s">
        <v>1347</v>
      </c>
      <c r="D636" s="9" t="s">
        <v>307</v>
      </c>
      <c r="E636" s="10">
        <v>46174</v>
      </c>
      <c r="F636" s="10">
        <v>46356</v>
      </c>
      <c r="G636" s="11">
        <v>1400</v>
      </c>
      <c r="H636" s="12">
        <v>1400</v>
      </c>
      <c r="I636" s="13">
        <v>1</v>
      </c>
      <c r="J636" s="12">
        <f t="shared" si="76"/>
        <v>1400</v>
      </c>
      <c r="K636" s="12">
        <f t="shared" si="77"/>
        <v>77</v>
      </c>
      <c r="L636" s="12">
        <f t="shared" si="78"/>
        <v>182</v>
      </c>
      <c r="M636" s="12">
        <f t="shared" si="79"/>
        <v>1582</v>
      </c>
      <c r="N636" s="12">
        <f t="shared" si="80"/>
        <v>1323</v>
      </c>
      <c r="O636" s="12">
        <v>122.28</v>
      </c>
      <c r="P636" s="12">
        <f t="shared" si="74"/>
        <v>199.28</v>
      </c>
      <c r="Q636" s="12">
        <f t="shared" si="75"/>
        <v>1200.72</v>
      </c>
    </row>
    <row r="637" spans="1:157" s="9" customFormat="1" ht="20.100000000000001" customHeight="1" x14ac:dyDescent="0.3">
      <c r="A637" s="9">
        <v>635</v>
      </c>
      <c r="B637" s="9" t="s">
        <v>1348</v>
      </c>
      <c r="C637" s="9" t="s">
        <v>1349</v>
      </c>
      <c r="D637" s="9" t="s">
        <v>23</v>
      </c>
      <c r="E637" s="10">
        <v>46143</v>
      </c>
      <c r="F637" s="10">
        <v>46325</v>
      </c>
      <c r="G637" s="11">
        <v>1400</v>
      </c>
      <c r="H637" s="12">
        <v>1400</v>
      </c>
      <c r="I637" s="13">
        <v>1</v>
      </c>
      <c r="J637" s="12">
        <f t="shared" si="76"/>
        <v>1400</v>
      </c>
      <c r="K637" s="12">
        <f t="shared" si="77"/>
        <v>77</v>
      </c>
      <c r="L637" s="12">
        <f t="shared" si="78"/>
        <v>182</v>
      </c>
      <c r="M637" s="12">
        <f t="shared" si="79"/>
        <v>1582</v>
      </c>
      <c r="N637" s="12">
        <f t="shared" si="80"/>
        <v>1323</v>
      </c>
      <c r="O637" s="12">
        <v>122.28</v>
      </c>
      <c r="P637" s="12">
        <f t="shared" si="74"/>
        <v>199.28</v>
      </c>
      <c r="Q637" s="12">
        <f t="shared" si="75"/>
        <v>1200.72</v>
      </c>
    </row>
    <row r="638" spans="1:157" s="9" customFormat="1" ht="20.100000000000001" customHeight="1" x14ac:dyDescent="0.3">
      <c r="A638" s="9">
        <v>636</v>
      </c>
      <c r="B638" s="9" t="s">
        <v>1350</v>
      </c>
      <c r="C638" s="9" t="s">
        <v>1351</v>
      </c>
      <c r="D638" s="9" t="s">
        <v>296</v>
      </c>
      <c r="E638" s="10">
        <v>46113</v>
      </c>
      <c r="F638" s="10">
        <v>46295</v>
      </c>
      <c r="G638" s="11">
        <v>1400</v>
      </c>
      <c r="H638" s="12">
        <v>1400</v>
      </c>
      <c r="I638" s="13">
        <v>1</v>
      </c>
      <c r="J638" s="12">
        <f t="shared" si="76"/>
        <v>1400</v>
      </c>
      <c r="K638" s="12">
        <f t="shared" si="77"/>
        <v>77</v>
      </c>
      <c r="L638" s="12">
        <f t="shared" si="78"/>
        <v>182</v>
      </c>
      <c r="M638" s="12">
        <f t="shared" si="79"/>
        <v>1582</v>
      </c>
      <c r="N638" s="12">
        <f t="shared" si="80"/>
        <v>1323</v>
      </c>
      <c r="O638" s="12">
        <v>122.28</v>
      </c>
      <c r="P638" s="12">
        <f t="shared" si="74"/>
        <v>199.28</v>
      </c>
      <c r="Q638" s="12">
        <f t="shared" si="75"/>
        <v>1200.72</v>
      </c>
    </row>
    <row r="639" spans="1:157" s="9" customFormat="1" ht="20.100000000000001" customHeight="1" x14ac:dyDescent="0.3">
      <c r="A639" s="9">
        <v>637</v>
      </c>
      <c r="B639" s="9" t="s">
        <v>1352</v>
      </c>
      <c r="C639" s="9" t="s">
        <v>1353</v>
      </c>
      <c r="D639" s="9" t="s">
        <v>603</v>
      </c>
      <c r="E639" s="10">
        <v>46055</v>
      </c>
      <c r="F639" s="10">
        <v>46234</v>
      </c>
      <c r="G639" s="11">
        <v>1400</v>
      </c>
      <c r="H639" s="12">
        <v>1400</v>
      </c>
      <c r="I639" s="13">
        <v>1</v>
      </c>
      <c r="J639" s="12">
        <f t="shared" si="76"/>
        <v>1400</v>
      </c>
      <c r="K639" s="12">
        <f t="shared" si="77"/>
        <v>77</v>
      </c>
      <c r="L639" s="12">
        <f t="shared" si="78"/>
        <v>182</v>
      </c>
      <c r="M639" s="12">
        <f t="shared" si="79"/>
        <v>1582</v>
      </c>
      <c r="N639" s="12">
        <f t="shared" si="80"/>
        <v>1323</v>
      </c>
      <c r="O639" s="12">
        <v>122.28</v>
      </c>
      <c r="P639" s="12">
        <f t="shared" si="74"/>
        <v>199.28</v>
      </c>
      <c r="Q639" s="12">
        <f t="shared" si="75"/>
        <v>1200.72</v>
      </c>
    </row>
    <row r="640" spans="1:157" s="9" customFormat="1" ht="20.100000000000001" customHeight="1" x14ac:dyDescent="0.3">
      <c r="A640" s="9">
        <v>638</v>
      </c>
      <c r="B640" s="9" t="s">
        <v>1354</v>
      </c>
      <c r="C640" s="9" t="s">
        <v>1355</v>
      </c>
      <c r="D640" s="9" t="s">
        <v>905</v>
      </c>
      <c r="E640" s="15">
        <v>46143</v>
      </c>
      <c r="F640" s="15">
        <v>46325</v>
      </c>
      <c r="G640" s="11">
        <v>1400</v>
      </c>
      <c r="H640" s="12">
        <v>1400</v>
      </c>
      <c r="I640" s="13">
        <v>1</v>
      </c>
      <c r="J640" s="12">
        <f t="shared" si="76"/>
        <v>1400</v>
      </c>
      <c r="K640" s="12">
        <f t="shared" si="77"/>
        <v>77</v>
      </c>
      <c r="L640" s="12">
        <f t="shared" si="78"/>
        <v>182</v>
      </c>
      <c r="M640" s="12">
        <f t="shared" si="79"/>
        <v>1582</v>
      </c>
      <c r="N640" s="12">
        <f t="shared" si="80"/>
        <v>1323</v>
      </c>
      <c r="O640" s="12">
        <v>122.28</v>
      </c>
      <c r="P640" s="12">
        <f t="shared" si="74"/>
        <v>199.28</v>
      </c>
      <c r="Q640" s="12">
        <f t="shared" si="75"/>
        <v>1200.72</v>
      </c>
    </row>
    <row r="641" spans="1:17" s="9" customFormat="1" ht="20.100000000000001" customHeight="1" x14ac:dyDescent="0.3">
      <c r="A641" s="9">
        <v>639</v>
      </c>
      <c r="B641" s="9" t="s">
        <v>1356</v>
      </c>
      <c r="C641" s="9" t="s">
        <v>1357</v>
      </c>
      <c r="D641" s="9" t="s">
        <v>1212</v>
      </c>
      <c r="E641" s="10">
        <v>46113</v>
      </c>
      <c r="F641" s="10">
        <v>46295</v>
      </c>
      <c r="G641" s="11">
        <v>1400</v>
      </c>
      <c r="H641" s="12">
        <v>1400</v>
      </c>
      <c r="I641" s="13">
        <v>1</v>
      </c>
      <c r="J641" s="12">
        <f t="shared" si="76"/>
        <v>1400</v>
      </c>
      <c r="K641" s="12">
        <f t="shared" si="77"/>
        <v>77</v>
      </c>
      <c r="L641" s="12">
        <f t="shared" si="78"/>
        <v>182</v>
      </c>
      <c r="M641" s="12">
        <f t="shared" si="79"/>
        <v>1582</v>
      </c>
      <c r="N641" s="12">
        <f t="shared" si="80"/>
        <v>1323</v>
      </c>
      <c r="O641" s="12">
        <v>122.28</v>
      </c>
      <c r="P641" s="12">
        <f t="shared" si="74"/>
        <v>199.28</v>
      </c>
      <c r="Q641" s="12">
        <f t="shared" si="75"/>
        <v>1200.72</v>
      </c>
    </row>
    <row r="642" spans="1:17" s="9" customFormat="1" ht="20.100000000000001" customHeight="1" x14ac:dyDescent="0.3">
      <c r="A642" s="9">
        <v>640</v>
      </c>
      <c r="B642" s="9" t="s">
        <v>1358</v>
      </c>
      <c r="C642" s="9" t="s">
        <v>1359</v>
      </c>
      <c r="D642" s="9" t="s">
        <v>353</v>
      </c>
      <c r="E642" s="10">
        <v>46143</v>
      </c>
      <c r="F642" s="10">
        <v>46325</v>
      </c>
      <c r="G642" s="11">
        <v>1400</v>
      </c>
      <c r="H642" s="12">
        <v>1400</v>
      </c>
      <c r="I642" s="13">
        <v>1</v>
      </c>
      <c r="J642" s="12">
        <f t="shared" si="76"/>
        <v>1400</v>
      </c>
      <c r="K642" s="12">
        <f t="shared" si="77"/>
        <v>77</v>
      </c>
      <c r="L642" s="12">
        <f t="shared" si="78"/>
        <v>182</v>
      </c>
      <c r="M642" s="12">
        <f t="shared" si="79"/>
        <v>1582</v>
      </c>
      <c r="N642" s="12">
        <f t="shared" si="80"/>
        <v>1323</v>
      </c>
      <c r="O642" s="12">
        <v>122.28</v>
      </c>
      <c r="P642" s="12">
        <f t="shared" si="74"/>
        <v>199.28</v>
      </c>
      <c r="Q642" s="12">
        <f t="shared" si="75"/>
        <v>1200.72</v>
      </c>
    </row>
    <row r="643" spans="1:17" s="9" customFormat="1" ht="20.100000000000001" customHeight="1" x14ac:dyDescent="0.3">
      <c r="A643" s="9">
        <v>641</v>
      </c>
      <c r="B643" s="9" t="s">
        <v>1360</v>
      </c>
      <c r="C643" s="9" t="s">
        <v>1361</v>
      </c>
      <c r="D643" s="9" t="s">
        <v>353</v>
      </c>
      <c r="E643" s="10">
        <v>46113</v>
      </c>
      <c r="F643" s="10">
        <v>46295</v>
      </c>
      <c r="G643" s="11">
        <v>1400</v>
      </c>
      <c r="H643" s="12">
        <v>1400</v>
      </c>
      <c r="I643" s="13">
        <v>1</v>
      </c>
      <c r="J643" s="12">
        <f t="shared" si="76"/>
        <v>1400</v>
      </c>
      <c r="K643" s="12">
        <f t="shared" si="77"/>
        <v>77</v>
      </c>
      <c r="L643" s="12">
        <f t="shared" si="78"/>
        <v>182</v>
      </c>
      <c r="M643" s="12">
        <f t="shared" si="79"/>
        <v>1582</v>
      </c>
      <c r="N643" s="12">
        <f t="shared" si="80"/>
        <v>1323</v>
      </c>
      <c r="O643" s="12">
        <v>122.28</v>
      </c>
      <c r="P643" s="12">
        <f t="shared" si="74"/>
        <v>199.28</v>
      </c>
      <c r="Q643" s="12">
        <f t="shared" si="75"/>
        <v>1200.72</v>
      </c>
    </row>
    <row r="644" spans="1:17" s="9" customFormat="1" ht="20.100000000000001" customHeight="1" x14ac:dyDescent="0.3">
      <c r="A644" s="9">
        <v>642</v>
      </c>
      <c r="B644" s="9" t="s">
        <v>1362</v>
      </c>
      <c r="C644" s="9" t="s">
        <v>1363</v>
      </c>
      <c r="D644" s="9" t="s">
        <v>353</v>
      </c>
      <c r="E644" s="10">
        <v>46055</v>
      </c>
      <c r="F644" s="10">
        <v>46234</v>
      </c>
      <c r="G644" s="11">
        <v>1400</v>
      </c>
      <c r="H644" s="12">
        <v>1400</v>
      </c>
      <c r="I644" s="13">
        <v>1</v>
      </c>
      <c r="J644" s="12">
        <f t="shared" si="76"/>
        <v>1400</v>
      </c>
      <c r="K644" s="12">
        <f t="shared" si="77"/>
        <v>77</v>
      </c>
      <c r="L644" s="12">
        <f t="shared" si="78"/>
        <v>182</v>
      </c>
      <c r="M644" s="12">
        <f t="shared" si="79"/>
        <v>1582</v>
      </c>
      <c r="N644" s="12">
        <f t="shared" si="80"/>
        <v>1323</v>
      </c>
      <c r="O644" s="12">
        <v>122.28</v>
      </c>
      <c r="P644" s="12">
        <f t="shared" si="74"/>
        <v>199.28</v>
      </c>
      <c r="Q644" s="12">
        <f t="shared" si="75"/>
        <v>1200.72</v>
      </c>
    </row>
    <row r="645" spans="1:17" s="9" customFormat="1" ht="20.100000000000001" customHeight="1" x14ac:dyDescent="0.3">
      <c r="A645" s="9">
        <v>643</v>
      </c>
      <c r="B645" s="9" t="s">
        <v>1364</v>
      </c>
      <c r="C645" s="9" t="s">
        <v>1365</v>
      </c>
      <c r="D645" s="9" t="s">
        <v>113</v>
      </c>
      <c r="E645" s="10">
        <v>46083</v>
      </c>
      <c r="F645" s="10">
        <v>46265</v>
      </c>
      <c r="G645" s="11">
        <v>1400</v>
      </c>
      <c r="H645" s="12">
        <v>1400</v>
      </c>
      <c r="I645" s="13">
        <v>1</v>
      </c>
      <c r="J645" s="12">
        <f t="shared" si="76"/>
        <v>1400</v>
      </c>
      <c r="K645" s="12">
        <f t="shared" si="77"/>
        <v>77</v>
      </c>
      <c r="L645" s="12">
        <f t="shared" si="78"/>
        <v>182</v>
      </c>
      <c r="M645" s="12">
        <f t="shared" si="79"/>
        <v>1582</v>
      </c>
      <c r="N645" s="12">
        <f t="shared" si="80"/>
        <v>1323</v>
      </c>
      <c r="O645" s="12">
        <v>122.28</v>
      </c>
      <c r="P645" s="12">
        <f t="shared" si="74"/>
        <v>199.28</v>
      </c>
      <c r="Q645" s="12">
        <f t="shared" si="75"/>
        <v>1200.72</v>
      </c>
    </row>
    <row r="646" spans="1:17" s="9" customFormat="1" ht="20.100000000000001" customHeight="1" x14ac:dyDescent="0.3">
      <c r="A646" s="9">
        <v>644</v>
      </c>
      <c r="B646" s="9" t="s">
        <v>1366</v>
      </c>
      <c r="C646" s="9" t="s">
        <v>1367</v>
      </c>
      <c r="D646" s="9" t="s">
        <v>932</v>
      </c>
      <c r="E646" s="15">
        <v>46143</v>
      </c>
      <c r="F646" s="15">
        <v>46325</v>
      </c>
      <c r="G646" s="11">
        <v>1400</v>
      </c>
      <c r="H646" s="12">
        <v>1400</v>
      </c>
      <c r="I646" s="13">
        <v>1</v>
      </c>
      <c r="J646" s="12">
        <f t="shared" si="76"/>
        <v>1400</v>
      </c>
      <c r="K646" s="12">
        <f t="shared" si="77"/>
        <v>77</v>
      </c>
      <c r="L646" s="12">
        <f t="shared" si="78"/>
        <v>182</v>
      </c>
      <c r="M646" s="12">
        <f t="shared" si="79"/>
        <v>1582</v>
      </c>
      <c r="N646" s="12">
        <f t="shared" si="80"/>
        <v>1323</v>
      </c>
      <c r="O646" s="12">
        <v>122.28</v>
      </c>
      <c r="P646" s="12">
        <f t="shared" si="74"/>
        <v>199.28</v>
      </c>
      <c r="Q646" s="12">
        <f t="shared" si="75"/>
        <v>1200.72</v>
      </c>
    </row>
    <row r="647" spans="1:17" s="9" customFormat="1" ht="20.100000000000001" customHeight="1" x14ac:dyDescent="0.3">
      <c r="A647" s="9">
        <v>645</v>
      </c>
      <c r="B647" s="9" t="s">
        <v>1368</v>
      </c>
      <c r="C647" s="9" t="s">
        <v>1369</v>
      </c>
      <c r="D647" s="9" t="s">
        <v>932</v>
      </c>
      <c r="E647" s="10">
        <v>46143</v>
      </c>
      <c r="F647" s="10">
        <v>46325</v>
      </c>
      <c r="G647" s="11">
        <v>1400</v>
      </c>
      <c r="H647" s="12">
        <v>1400</v>
      </c>
      <c r="I647" s="13">
        <v>1</v>
      </c>
      <c r="J647" s="12">
        <f t="shared" si="76"/>
        <v>1400</v>
      </c>
      <c r="K647" s="12">
        <f t="shared" si="77"/>
        <v>77</v>
      </c>
      <c r="L647" s="12">
        <f t="shared" si="78"/>
        <v>182</v>
      </c>
      <c r="M647" s="12">
        <f t="shared" si="79"/>
        <v>1582</v>
      </c>
      <c r="N647" s="12">
        <f t="shared" si="80"/>
        <v>1323</v>
      </c>
      <c r="O647" s="12">
        <v>122.28</v>
      </c>
      <c r="P647" s="12">
        <f t="shared" si="74"/>
        <v>199.28</v>
      </c>
      <c r="Q647" s="12">
        <f t="shared" si="75"/>
        <v>1200.72</v>
      </c>
    </row>
    <row r="648" spans="1:17" s="9" customFormat="1" ht="20.100000000000001" customHeight="1" x14ac:dyDescent="0.3">
      <c r="A648" s="9">
        <v>646</v>
      </c>
      <c r="B648" s="9" t="s">
        <v>1370</v>
      </c>
      <c r="C648" s="9" t="s">
        <v>1371</v>
      </c>
      <c r="D648" s="9" t="s">
        <v>1372</v>
      </c>
      <c r="E648" s="15">
        <v>46113</v>
      </c>
      <c r="F648" s="15">
        <v>46295</v>
      </c>
      <c r="G648" s="11">
        <v>1400</v>
      </c>
      <c r="H648" s="12">
        <v>1400</v>
      </c>
      <c r="I648" s="13">
        <v>1</v>
      </c>
      <c r="J648" s="12">
        <f t="shared" si="76"/>
        <v>1400</v>
      </c>
      <c r="K648" s="12">
        <f t="shared" si="77"/>
        <v>77</v>
      </c>
      <c r="L648" s="12">
        <f t="shared" si="78"/>
        <v>182</v>
      </c>
      <c r="M648" s="12">
        <f t="shared" si="79"/>
        <v>1582</v>
      </c>
      <c r="N648" s="12">
        <f t="shared" si="80"/>
        <v>1323</v>
      </c>
      <c r="O648" s="12">
        <v>122.28</v>
      </c>
      <c r="P648" s="12">
        <f t="shared" si="74"/>
        <v>199.28</v>
      </c>
      <c r="Q648" s="12">
        <f t="shared" si="75"/>
        <v>1200.72</v>
      </c>
    </row>
    <row r="649" spans="1:17" s="9" customFormat="1" ht="20.100000000000001" customHeight="1" x14ac:dyDescent="0.3">
      <c r="A649" s="9">
        <v>647</v>
      </c>
      <c r="B649" s="9" t="s">
        <v>1373</v>
      </c>
      <c r="C649" s="9" t="s">
        <v>1374</v>
      </c>
      <c r="D649" s="9" t="s">
        <v>603</v>
      </c>
      <c r="E649" s="10">
        <v>46055</v>
      </c>
      <c r="F649" s="10">
        <v>46234</v>
      </c>
      <c r="G649" s="11">
        <v>1400</v>
      </c>
      <c r="H649" s="12">
        <v>1400</v>
      </c>
      <c r="I649" s="13">
        <v>1</v>
      </c>
      <c r="J649" s="12">
        <f t="shared" si="76"/>
        <v>1400</v>
      </c>
      <c r="K649" s="12">
        <f t="shared" si="77"/>
        <v>77</v>
      </c>
      <c r="L649" s="12">
        <f t="shared" si="78"/>
        <v>182</v>
      </c>
      <c r="M649" s="12">
        <f t="shared" si="79"/>
        <v>1582</v>
      </c>
      <c r="N649" s="12">
        <f t="shared" si="80"/>
        <v>1323</v>
      </c>
      <c r="O649" s="12">
        <v>122.28</v>
      </c>
      <c r="P649" s="12">
        <f t="shared" si="74"/>
        <v>199.28</v>
      </c>
      <c r="Q649" s="12">
        <f t="shared" si="75"/>
        <v>1200.72</v>
      </c>
    </row>
    <row r="650" spans="1:17" s="9" customFormat="1" ht="20.100000000000001" customHeight="1" x14ac:dyDescent="0.3">
      <c r="A650" s="9">
        <v>648</v>
      </c>
      <c r="B650" s="9" t="s">
        <v>1375</v>
      </c>
      <c r="C650" s="9" t="s">
        <v>1376</v>
      </c>
      <c r="D650" s="9" t="s">
        <v>166</v>
      </c>
      <c r="E650" s="10">
        <v>46204</v>
      </c>
      <c r="F650" s="10">
        <v>46386</v>
      </c>
      <c r="G650" s="11">
        <v>1400</v>
      </c>
      <c r="H650" s="12">
        <v>1400</v>
      </c>
      <c r="I650" s="13">
        <v>1</v>
      </c>
      <c r="J650" s="12">
        <f t="shared" si="76"/>
        <v>1400</v>
      </c>
      <c r="K650" s="12">
        <f t="shared" si="77"/>
        <v>77</v>
      </c>
      <c r="L650" s="12">
        <f t="shared" si="78"/>
        <v>182</v>
      </c>
      <c r="M650" s="12">
        <f t="shared" si="79"/>
        <v>1582</v>
      </c>
      <c r="N650" s="12">
        <f t="shared" si="80"/>
        <v>1323</v>
      </c>
      <c r="O650" s="12">
        <v>122.28</v>
      </c>
      <c r="P650" s="12">
        <f t="shared" si="74"/>
        <v>199.28</v>
      </c>
      <c r="Q650" s="12">
        <f t="shared" si="75"/>
        <v>1200.72</v>
      </c>
    </row>
    <row r="651" spans="1:17" s="9" customFormat="1" ht="20.100000000000001" customHeight="1" x14ac:dyDescent="0.3">
      <c r="A651" s="9">
        <v>649</v>
      </c>
      <c r="B651" s="9" t="s">
        <v>1377</v>
      </c>
      <c r="C651" s="9" t="s">
        <v>1378</v>
      </c>
      <c r="D651" s="9" t="s">
        <v>166</v>
      </c>
      <c r="E651" s="10">
        <v>46204</v>
      </c>
      <c r="F651" s="10">
        <v>46386</v>
      </c>
      <c r="G651" s="11">
        <v>1400</v>
      </c>
      <c r="H651" s="12">
        <v>1400</v>
      </c>
      <c r="I651" s="13">
        <v>1</v>
      </c>
      <c r="J651" s="12">
        <f t="shared" si="76"/>
        <v>1400</v>
      </c>
      <c r="K651" s="12">
        <f t="shared" si="77"/>
        <v>77</v>
      </c>
      <c r="L651" s="12">
        <f t="shared" si="78"/>
        <v>182</v>
      </c>
      <c r="M651" s="12">
        <f t="shared" si="79"/>
        <v>1582</v>
      </c>
      <c r="N651" s="12">
        <f t="shared" si="80"/>
        <v>1323</v>
      </c>
      <c r="O651" s="12">
        <v>122.28</v>
      </c>
      <c r="P651" s="12">
        <f t="shared" si="74"/>
        <v>199.28</v>
      </c>
      <c r="Q651" s="12">
        <f t="shared" si="75"/>
        <v>1200.72</v>
      </c>
    </row>
    <row r="652" spans="1:17" s="9" customFormat="1" ht="20.100000000000001" customHeight="1" x14ac:dyDescent="0.3">
      <c r="A652" s="9">
        <v>650</v>
      </c>
      <c r="B652" s="9" t="s">
        <v>1379</v>
      </c>
      <c r="C652" s="9" t="s">
        <v>1380</v>
      </c>
      <c r="D652" s="9" t="s">
        <v>483</v>
      </c>
      <c r="E652" s="10">
        <v>46204</v>
      </c>
      <c r="F652" s="10">
        <v>46386</v>
      </c>
      <c r="G652" s="11">
        <v>1400</v>
      </c>
      <c r="H652" s="12">
        <v>1400</v>
      </c>
      <c r="I652" s="13">
        <v>1</v>
      </c>
      <c r="J652" s="12">
        <f t="shared" si="76"/>
        <v>1400</v>
      </c>
      <c r="K652" s="12">
        <f t="shared" si="77"/>
        <v>77</v>
      </c>
      <c r="L652" s="12">
        <f t="shared" si="78"/>
        <v>182</v>
      </c>
      <c r="M652" s="12">
        <f t="shared" si="79"/>
        <v>1582</v>
      </c>
      <c r="N652" s="12">
        <f t="shared" si="80"/>
        <v>1323</v>
      </c>
      <c r="O652" s="12">
        <v>122.28</v>
      </c>
      <c r="P652" s="12">
        <f t="shared" si="74"/>
        <v>199.28</v>
      </c>
      <c r="Q652" s="12">
        <f t="shared" si="75"/>
        <v>1200.72</v>
      </c>
    </row>
    <row r="653" spans="1:17" s="9" customFormat="1" ht="20.100000000000001" customHeight="1" x14ac:dyDescent="0.3">
      <c r="A653" s="9">
        <v>651</v>
      </c>
      <c r="B653" s="9" t="s">
        <v>1381</v>
      </c>
      <c r="C653" s="9" t="s">
        <v>1382</v>
      </c>
      <c r="D653" s="9" t="s">
        <v>496</v>
      </c>
      <c r="E653" s="10">
        <v>46204</v>
      </c>
      <c r="F653" s="10">
        <v>46386</v>
      </c>
      <c r="G653" s="11">
        <v>1400</v>
      </c>
      <c r="H653" s="12">
        <v>1400</v>
      </c>
      <c r="I653" s="13">
        <v>1</v>
      </c>
      <c r="J653" s="12">
        <f t="shared" si="76"/>
        <v>1400</v>
      </c>
      <c r="K653" s="12">
        <f t="shared" si="77"/>
        <v>77</v>
      </c>
      <c r="L653" s="12">
        <f t="shared" si="78"/>
        <v>182</v>
      </c>
      <c r="M653" s="12">
        <f t="shared" si="79"/>
        <v>1582</v>
      </c>
      <c r="N653" s="12">
        <f t="shared" si="80"/>
        <v>1323</v>
      </c>
      <c r="O653" s="12">
        <v>122.28</v>
      </c>
      <c r="P653" s="12">
        <f t="shared" si="74"/>
        <v>199.28</v>
      </c>
      <c r="Q653" s="12">
        <f t="shared" si="75"/>
        <v>1200.72</v>
      </c>
    </row>
    <row r="654" spans="1:17" s="9" customFormat="1" ht="20.100000000000001" customHeight="1" x14ac:dyDescent="0.3">
      <c r="A654" s="9">
        <v>652</v>
      </c>
      <c r="B654" s="9" t="s">
        <v>1383</v>
      </c>
      <c r="C654" s="9" t="s">
        <v>1384</v>
      </c>
      <c r="D654" s="9" t="s">
        <v>23</v>
      </c>
      <c r="E654" s="10">
        <v>46204</v>
      </c>
      <c r="F654" s="10">
        <v>46386</v>
      </c>
      <c r="G654" s="11">
        <v>1400</v>
      </c>
      <c r="H654" s="12">
        <v>1400</v>
      </c>
      <c r="I654" s="13">
        <v>1</v>
      </c>
      <c r="J654" s="12">
        <f t="shared" si="76"/>
        <v>1400</v>
      </c>
      <c r="K654" s="12">
        <f t="shared" si="77"/>
        <v>77</v>
      </c>
      <c r="L654" s="12">
        <f t="shared" si="78"/>
        <v>182</v>
      </c>
      <c r="M654" s="12">
        <f t="shared" si="79"/>
        <v>1582</v>
      </c>
      <c r="N654" s="12">
        <f t="shared" si="80"/>
        <v>1323</v>
      </c>
      <c r="O654" s="12">
        <v>122.28</v>
      </c>
      <c r="P654" s="12">
        <f t="shared" si="74"/>
        <v>199.28</v>
      </c>
      <c r="Q654" s="12">
        <f t="shared" si="75"/>
        <v>1200.72</v>
      </c>
    </row>
    <row r="655" spans="1:17" s="9" customFormat="1" ht="20.100000000000001" customHeight="1" x14ac:dyDescent="0.3">
      <c r="A655" s="9">
        <v>653</v>
      </c>
      <c r="B655" s="9" t="s">
        <v>1385</v>
      </c>
      <c r="C655" s="9" t="s">
        <v>1386</v>
      </c>
      <c r="D655" s="9" t="s">
        <v>23</v>
      </c>
      <c r="E655" s="10">
        <v>46204</v>
      </c>
      <c r="F655" s="10">
        <v>46386</v>
      </c>
      <c r="G655" s="11">
        <v>1400</v>
      </c>
      <c r="H655" s="12">
        <v>1400</v>
      </c>
      <c r="I655" s="13">
        <v>1</v>
      </c>
      <c r="J655" s="12">
        <f t="shared" si="76"/>
        <v>1400</v>
      </c>
      <c r="K655" s="12">
        <f t="shared" si="77"/>
        <v>77</v>
      </c>
      <c r="L655" s="12">
        <f t="shared" si="78"/>
        <v>182</v>
      </c>
      <c r="M655" s="12">
        <f t="shared" si="79"/>
        <v>1582</v>
      </c>
      <c r="N655" s="12">
        <f t="shared" si="80"/>
        <v>1323</v>
      </c>
      <c r="O655" s="12">
        <v>122.28</v>
      </c>
      <c r="P655" s="12">
        <f t="shared" si="74"/>
        <v>199.28</v>
      </c>
      <c r="Q655" s="12">
        <f t="shared" si="75"/>
        <v>1200.72</v>
      </c>
    </row>
    <row r="656" spans="1:17" s="9" customFormat="1" ht="20.100000000000001" customHeight="1" x14ac:dyDescent="0.3">
      <c r="A656" s="9">
        <v>654</v>
      </c>
      <c r="B656" s="9" t="s">
        <v>1387</v>
      </c>
      <c r="C656" s="9" t="s">
        <v>1388</v>
      </c>
      <c r="D656" s="9" t="s">
        <v>23</v>
      </c>
      <c r="E656" s="10">
        <v>46204</v>
      </c>
      <c r="F656" s="10">
        <v>46386</v>
      </c>
      <c r="G656" s="11">
        <v>1400</v>
      </c>
      <c r="H656" s="12">
        <v>1400</v>
      </c>
      <c r="I656" s="13">
        <v>1</v>
      </c>
      <c r="J656" s="12">
        <f t="shared" si="76"/>
        <v>1400</v>
      </c>
      <c r="K656" s="12">
        <f t="shared" si="77"/>
        <v>77</v>
      </c>
      <c r="L656" s="12">
        <f t="shared" si="78"/>
        <v>182</v>
      </c>
      <c r="M656" s="12">
        <f t="shared" si="79"/>
        <v>1582</v>
      </c>
      <c r="N656" s="12">
        <f t="shared" si="80"/>
        <v>1323</v>
      </c>
      <c r="O656" s="12">
        <v>122.28</v>
      </c>
      <c r="P656" s="12">
        <f t="shared" si="74"/>
        <v>199.28</v>
      </c>
      <c r="Q656" s="12">
        <f t="shared" si="75"/>
        <v>1200.72</v>
      </c>
    </row>
    <row r="657" spans="1:17" s="9" customFormat="1" ht="20.100000000000001" customHeight="1" x14ac:dyDescent="0.3">
      <c r="A657" s="9">
        <v>655</v>
      </c>
      <c r="B657" s="9" t="s">
        <v>1389</v>
      </c>
      <c r="C657" s="9" t="s">
        <v>1390</v>
      </c>
      <c r="D657" s="9" t="s">
        <v>42</v>
      </c>
      <c r="E657" s="10">
        <v>46204</v>
      </c>
      <c r="F657" s="10">
        <v>46386</v>
      </c>
      <c r="G657" s="11">
        <v>1400</v>
      </c>
      <c r="H657" s="12">
        <v>1400</v>
      </c>
      <c r="I657" s="13">
        <v>1</v>
      </c>
      <c r="J657" s="12">
        <f t="shared" si="76"/>
        <v>1400</v>
      </c>
      <c r="K657" s="12">
        <f t="shared" si="77"/>
        <v>77</v>
      </c>
      <c r="L657" s="12">
        <f t="shared" si="78"/>
        <v>182</v>
      </c>
      <c r="M657" s="12">
        <f t="shared" si="79"/>
        <v>1582</v>
      </c>
      <c r="N657" s="12">
        <f t="shared" si="80"/>
        <v>1323</v>
      </c>
      <c r="O657" s="12">
        <v>122.28</v>
      </c>
      <c r="P657" s="12">
        <f t="shared" si="74"/>
        <v>199.28</v>
      </c>
      <c r="Q657" s="12">
        <f t="shared" si="75"/>
        <v>1200.72</v>
      </c>
    </row>
    <row r="658" spans="1:17" s="9" customFormat="1" ht="20.100000000000001" customHeight="1" x14ac:dyDescent="0.3">
      <c r="A658" s="9">
        <v>656</v>
      </c>
      <c r="B658" s="9" t="s">
        <v>1391</v>
      </c>
      <c r="C658" s="9" t="s">
        <v>1392</v>
      </c>
      <c r="D658" s="9" t="s">
        <v>496</v>
      </c>
      <c r="E658" s="10">
        <v>46083</v>
      </c>
      <c r="F658" s="10">
        <v>46263</v>
      </c>
      <c r="G658" s="11">
        <v>1400</v>
      </c>
      <c r="H658" s="12">
        <v>1400</v>
      </c>
      <c r="I658" s="13">
        <v>1</v>
      </c>
      <c r="J658" s="12">
        <f t="shared" si="76"/>
        <v>1400</v>
      </c>
      <c r="K658" s="12">
        <f t="shared" si="77"/>
        <v>77</v>
      </c>
      <c r="L658" s="12">
        <f t="shared" si="78"/>
        <v>182</v>
      </c>
      <c r="M658" s="12">
        <f t="shared" si="79"/>
        <v>1582</v>
      </c>
      <c r="N658" s="12">
        <f t="shared" si="80"/>
        <v>1323</v>
      </c>
      <c r="O658" s="12">
        <v>122.28</v>
      </c>
      <c r="P658" s="12">
        <f t="shared" si="74"/>
        <v>199.28</v>
      </c>
      <c r="Q658" s="12">
        <f t="shared" si="75"/>
        <v>1200.72</v>
      </c>
    </row>
    <row r="659" spans="1:17" s="9" customFormat="1" ht="20.100000000000001" customHeight="1" x14ac:dyDescent="0.3">
      <c r="A659" s="9">
        <v>657</v>
      </c>
      <c r="B659" s="9" t="s">
        <v>1393</v>
      </c>
      <c r="C659" s="9" t="s">
        <v>1394</v>
      </c>
      <c r="D659" s="9" t="s">
        <v>353</v>
      </c>
      <c r="E659" s="10">
        <v>46204</v>
      </c>
      <c r="F659" s="10">
        <v>46386</v>
      </c>
      <c r="G659" s="11">
        <v>1400</v>
      </c>
      <c r="H659" s="12">
        <v>1400</v>
      </c>
      <c r="I659" s="13">
        <v>1</v>
      </c>
      <c r="J659" s="12">
        <f t="shared" si="76"/>
        <v>1400</v>
      </c>
      <c r="K659" s="12">
        <f t="shared" si="77"/>
        <v>77</v>
      </c>
      <c r="L659" s="12">
        <f t="shared" si="78"/>
        <v>182</v>
      </c>
      <c r="M659" s="12">
        <f t="shared" si="79"/>
        <v>1582</v>
      </c>
      <c r="N659" s="12">
        <f t="shared" si="80"/>
        <v>1323</v>
      </c>
      <c r="O659" s="12">
        <v>122.28</v>
      </c>
      <c r="P659" s="12">
        <f t="shared" ref="P659:P660" si="81">K659+O659</f>
        <v>199.28</v>
      </c>
      <c r="Q659" s="12">
        <f t="shared" ref="Q659:Q660" si="82">J659-P659</f>
        <v>1200.72</v>
      </c>
    </row>
    <row r="660" spans="1:17" s="9" customFormat="1" ht="23.25" customHeight="1" x14ac:dyDescent="0.3">
      <c r="A660" s="9">
        <v>658</v>
      </c>
      <c r="B660" s="9" t="s">
        <v>1395</v>
      </c>
      <c r="C660" s="9" t="s">
        <v>1396</v>
      </c>
      <c r="D660" s="9" t="s">
        <v>1235</v>
      </c>
      <c r="E660" s="10">
        <v>46143</v>
      </c>
      <c r="F660" s="10">
        <v>46325</v>
      </c>
      <c r="G660" s="11">
        <v>1400</v>
      </c>
      <c r="H660" s="12">
        <v>1400</v>
      </c>
      <c r="I660" s="13">
        <v>1</v>
      </c>
      <c r="J660" s="12">
        <f t="shared" si="76"/>
        <v>1400</v>
      </c>
      <c r="K660" s="12">
        <f t="shared" si="77"/>
        <v>77</v>
      </c>
      <c r="L660" s="12">
        <f t="shared" si="78"/>
        <v>182</v>
      </c>
      <c r="M660" s="12">
        <f t="shared" si="79"/>
        <v>1582</v>
      </c>
      <c r="N660" s="12">
        <f t="shared" si="80"/>
        <v>1323</v>
      </c>
      <c r="O660" s="12">
        <v>122.28</v>
      </c>
      <c r="P660" s="12">
        <v>199.28</v>
      </c>
      <c r="Q660" s="12">
        <v>1200.72</v>
      </c>
    </row>
    <row r="661" spans="1:17" s="9" customFormat="1" ht="21.75" customHeight="1" x14ac:dyDescent="0.3">
      <c r="A661" s="9">
        <v>659</v>
      </c>
      <c r="B661" s="9" t="s">
        <v>1397</v>
      </c>
      <c r="C661" s="9" t="s">
        <v>1398</v>
      </c>
      <c r="D661" s="9" t="s">
        <v>1235</v>
      </c>
      <c r="E661" s="10">
        <v>46143</v>
      </c>
      <c r="F661" s="10">
        <v>46325</v>
      </c>
      <c r="G661" s="11">
        <v>1400</v>
      </c>
      <c r="H661" s="12">
        <v>1400</v>
      </c>
      <c r="I661" s="13">
        <v>1</v>
      </c>
      <c r="J661" s="12">
        <f t="shared" si="76"/>
        <v>1400</v>
      </c>
      <c r="K661" s="12">
        <f t="shared" si="77"/>
        <v>77</v>
      </c>
      <c r="L661" s="12">
        <f t="shared" si="78"/>
        <v>182</v>
      </c>
      <c r="M661" s="12">
        <f t="shared" si="79"/>
        <v>1582</v>
      </c>
      <c r="N661" s="12">
        <f t="shared" si="80"/>
        <v>1323</v>
      </c>
      <c r="O661" s="12">
        <v>122.28</v>
      </c>
      <c r="P661" s="12">
        <v>199.28</v>
      </c>
      <c r="Q661" s="12">
        <v>1200.72</v>
      </c>
    </row>
    <row r="662" spans="1:17" s="9" customFormat="1" ht="18.75" customHeight="1" x14ac:dyDescent="0.3">
      <c r="A662" s="9">
        <v>660</v>
      </c>
      <c r="B662" s="9" t="s">
        <v>1399</v>
      </c>
      <c r="C662" s="9" t="s">
        <v>1400</v>
      </c>
      <c r="D662" s="9" t="s">
        <v>1235</v>
      </c>
      <c r="E662" s="10">
        <v>46174</v>
      </c>
      <c r="F662" s="10">
        <v>46356</v>
      </c>
      <c r="G662" s="11">
        <v>1400</v>
      </c>
      <c r="H662" s="12">
        <v>1400</v>
      </c>
      <c r="I662" s="13">
        <v>1</v>
      </c>
      <c r="J662" s="12">
        <f t="shared" si="76"/>
        <v>1400</v>
      </c>
      <c r="K662" s="12">
        <f t="shared" si="77"/>
        <v>77</v>
      </c>
      <c r="L662" s="12">
        <f t="shared" si="78"/>
        <v>182</v>
      </c>
      <c r="M662" s="12">
        <f t="shared" si="79"/>
        <v>1582</v>
      </c>
      <c r="N662" s="12">
        <f t="shared" si="80"/>
        <v>1323</v>
      </c>
      <c r="O662" s="12">
        <v>122.28</v>
      </c>
      <c r="P662" s="12">
        <v>199.28</v>
      </c>
      <c r="Q662" s="12">
        <v>1200.72</v>
      </c>
    </row>
    <row r="663" spans="1:17" s="9" customFormat="1" ht="22.5" customHeight="1" x14ac:dyDescent="0.3">
      <c r="A663" s="9">
        <v>661</v>
      </c>
      <c r="B663" s="9" t="s">
        <v>1401</v>
      </c>
      <c r="C663" s="9" t="s">
        <v>1402</v>
      </c>
      <c r="D663" s="9" t="s">
        <v>1235</v>
      </c>
      <c r="E663" s="10">
        <v>46204</v>
      </c>
      <c r="F663" s="10">
        <v>46386</v>
      </c>
      <c r="G663" s="11">
        <v>1400</v>
      </c>
      <c r="H663" s="12">
        <v>1400</v>
      </c>
      <c r="I663" s="13">
        <v>1</v>
      </c>
      <c r="J663" s="12">
        <f t="shared" si="76"/>
        <v>1400</v>
      </c>
      <c r="K663" s="12">
        <f t="shared" si="77"/>
        <v>77</v>
      </c>
      <c r="L663" s="12">
        <f t="shared" si="78"/>
        <v>182</v>
      </c>
      <c r="M663" s="12">
        <f t="shared" si="79"/>
        <v>1582</v>
      </c>
      <c r="N663" s="12">
        <f t="shared" si="80"/>
        <v>1323</v>
      </c>
      <c r="O663" s="12">
        <v>122.28</v>
      </c>
      <c r="P663" s="12">
        <v>199.28</v>
      </c>
      <c r="Q663" s="12">
        <v>1200.72</v>
      </c>
    </row>
    <row r="664" spans="1:17" s="9" customFormat="1" ht="17.25" customHeight="1" x14ac:dyDescent="0.3">
      <c r="A664" s="9">
        <v>662</v>
      </c>
      <c r="B664" s="9" t="s">
        <v>1403</v>
      </c>
      <c r="C664" s="9" t="s">
        <v>1404</v>
      </c>
      <c r="D664" s="9" t="s">
        <v>121</v>
      </c>
      <c r="E664" s="10">
        <v>46204</v>
      </c>
      <c r="F664" s="10">
        <v>46386</v>
      </c>
      <c r="G664" s="11">
        <v>1400</v>
      </c>
      <c r="H664" s="12">
        <v>1400</v>
      </c>
      <c r="I664" s="13">
        <v>1</v>
      </c>
      <c r="J664" s="12">
        <f t="shared" si="76"/>
        <v>1400</v>
      </c>
      <c r="K664" s="12">
        <f t="shared" si="77"/>
        <v>77</v>
      </c>
      <c r="L664" s="12">
        <f t="shared" si="78"/>
        <v>182</v>
      </c>
      <c r="M664" s="12">
        <f t="shared" si="79"/>
        <v>1582</v>
      </c>
      <c r="N664" s="12">
        <f t="shared" si="80"/>
        <v>1323</v>
      </c>
      <c r="O664" s="12">
        <v>122.28</v>
      </c>
      <c r="P664" s="12">
        <f>K664+O664</f>
        <v>199.28</v>
      </c>
      <c r="Q664" s="12">
        <f>J664-P664</f>
        <v>1200.72</v>
      </c>
    </row>
    <row r="665" spans="1:17" s="9" customFormat="1" x14ac:dyDescent="0.3">
      <c r="A665" s="9">
        <v>663</v>
      </c>
      <c r="B665" s="9" t="s">
        <v>1405</v>
      </c>
      <c r="C665" s="9" t="s">
        <v>1406</v>
      </c>
      <c r="D665" s="9" t="s">
        <v>23</v>
      </c>
      <c r="E665" s="10">
        <v>46204</v>
      </c>
      <c r="F665" s="10">
        <v>46386</v>
      </c>
      <c r="G665" s="11">
        <v>1400</v>
      </c>
      <c r="H665" s="12">
        <v>1400</v>
      </c>
      <c r="I665" s="13">
        <v>1</v>
      </c>
      <c r="J665" s="12">
        <f t="shared" si="76"/>
        <v>1400</v>
      </c>
      <c r="K665" s="12">
        <f t="shared" si="77"/>
        <v>77</v>
      </c>
      <c r="L665" s="12">
        <f t="shared" si="78"/>
        <v>182</v>
      </c>
      <c r="M665" s="12">
        <f t="shared" si="79"/>
        <v>1582</v>
      </c>
      <c r="N665" s="12">
        <f t="shared" si="80"/>
        <v>1323</v>
      </c>
      <c r="O665" s="12">
        <v>122.28</v>
      </c>
      <c r="P665" s="12">
        <f>K665+O665</f>
        <v>199.28</v>
      </c>
      <c r="Q665" s="12">
        <f>J665-P665</f>
        <v>1200.72</v>
      </c>
    </row>
    <row r="666" spans="1:17" s="9" customFormat="1" x14ac:dyDescent="0.3">
      <c r="A666" s="9">
        <v>664</v>
      </c>
      <c r="B666" s="9" t="s">
        <v>1407</v>
      </c>
      <c r="C666" s="9" t="s">
        <v>1408</v>
      </c>
      <c r="D666" s="9" t="s">
        <v>42</v>
      </c>
      <c r="E666" s="10">
        <v>46204</v>
      </c>
      <c r="F666" s="10">
        <v>46386</v>
      </c>
      <c r="G666" s="11">
        <v>1400</v>
      </c>
      <c r="H666" s="12">
        <v>1400</v>
      </c>
      <c r="I666" s="13">
        <v>1</v>
      </c>
      <c r="J666" s="12">
        <f t="shared" ref="J666:J682" si="83">H666*I666</f>
        <v>1400</v>
      </c>
      <c r="K666" s="12">
        <f t="shared" ref="K666:K685" si="84">J666*0.055</f>
        <v>77</v>
      </c>
      <c r="L666" s="12">
        <f t="shared" ref="L666:L682" si="85">0.13*J666</f>
        <v>182</v>
      </c>
      <c r="M666" s="12">
        <f t="shared" ref="M666:M682" si="86">J666+L666</f>
        <v>1582</v>
      </c>
      <c r="N666" s="12">
        <f t="shared" ref="N666:N682" si="87">J666-K666</f>
        <v>1323</v>
      </c>
      <c r="O666" s="12">
        <v>122.28</v>
      </c>
      <c r="P666" s="12">
        <f>K666+O666</f>
        <v>199.28</v>
      </c>
      <c r="Q666" s="12">
        <f>J666-P666</f>
        <v>1200.72</v>
      </c>
    </row>
    <row r="667" spans="1:17" s="9" customFormat="1" ht="20.100000000000001" customHeight="1" x14ac:dyDescent="0.3">
      <c r="A667" s="9">
        <v>665</v>
      </c>
      <c r="B667" s="9" t="s">
        <v>1409</v>
      </c>
      <c r="C667" s="9" t="s">
        <v>1410</v>
      </c>
      <c r="D667" s="9" t="s">
        <v>42</v>
      </c>
      <c r="E667" s="10">
        <v>46204</v>
      </c>
      <c r="F667" s="10">
        <v>46386</v>
      </c>
      <c r="G667" s="11">
        <v>1400</v>
      </c>
      <c r="H667" s="12">
        <v>1400</v>
      </c>
      <c r="I667" s="13">
        <v>1</v>
      </c>
      <c r="J667" s="12">
        <f t="shared" si="83"/>
        <v>1400</v>
      </c>
      <c r="K667" s="12">
        <f t="shared" si="84"/>
        <v>77</v>
      </c>
      <c r="L667" s="12">
        <f t="shared" si="85"/>
        <v>182</v>
      </c>
      <c r="M667" s="12">
        <f t="shared" si="86"/>
        <v>1582</v>
      </c>
      <c r="N667" s="12">
        <f t="shared" si="87"/>
        <v>1323</v>
      </c>
      <c r="O667" s="12">
        <v>122.28</v>
      </c>
      <c r="P667" s="12">
        <f>K667+O667</f>
        <v>199.28</v>
      </c>
      <c r="Q667" s="12">
        <f>J667-P667</f>
        <v>1200.72</v>
      </c>
    </row>
    <row r="668" spans="1:17" s="37" customFormat="1" x14ac:dyDescent="0.3">
      <c r="A668" s="9">
        <v>666</v>
      </c>
      <c r="B668" s="37" t="s">
        <v>1411</v>
      </c>
      <c r="C668" s="37" t="s">
        <v>1412</v>
      </c>
      <c r="D668" s="37" t="s">
        <v>113</v>
      </c>
      <c r="E668" s="38">
        <v>46174</v>
      </c>
      <c r="F668" s="38">
        <v>46356</v>
      </c>
      <c r="G668" s="39">
        <v>1400</v>
      </c>
      <c r="H668" s="40">
        <v>1400</v>
      </c>
      <c r="I668" s="41">
        <v>1</v>
      </c>
      <c r="J668" s="40">
        <f t="shared" si="83"/>
        <v>1400</v>
      </c>
      <c r="K668" s="40">
        <f t="shared" si="84"/>
        <v>77</v>
      </c>
      <c r="L668" s="40">
        <f t="shared" si="85"/>
        <v>182</v>
      </c>
      <c r="M668" s="40">
        <f t="shared" si="86"/>
        <v>1582</v>
      </c>
      <c r="N668" s="40">
        <f t="shared" si="87"/>
        <v>1323</v>
      </c>
      <c r="O668" s="40">
        <v>122.28</v>
      </c>
      <c r="P668" s="40">
        <f t="shared" ref="P668:P682" si="88">K668+O668</f>
        <v>199.28</v>
      </c>
      <c r="Q668" s="40">
        <f t="shared" ref="Q668:Q682" si="89">J668-P668</f>
        <v>1200.72</v>
      </c>
    </row>
    <row r="669" spans="1:17" s="9" customFormat="1" ht="20.100000000000001" customHeight="1" x14ac:dyDescent="0.3">
      <c r="A669" s="9">
        <v>667</v>
      </c>
      <c r="B669" s="9" t="s">
        <v>1413</v>
      </c>
      <c r="C669" s="9" t="s">
        <v>1414</v>
      </c>
      <c r="D669" s="9" t="s">
        <v>503</v>
      </c>
      <c r="E669" s="10">
        <v>46204</v>
      </c>
      <c r="F669" s="10">
        <v>46386</v>
      </c>
      <c r="G669" s="11">
        <v>1400</v>
      </c>
      <c r="H669" s="42">
        <v>1400</v>
      </c>
      <c r="I669" s="13">
        <v>1</v>
      </c>
      <c r="J669" s="42">
        <f t="shared" si="83"/>
        <v>1400</v>
      </c>
      <c r="K669" s="42">
        <f t="shared" si="84"/>
        <v>77</v>
      </c>
      <c r="L669" s="42">
        <f t="shared" si="85"/>
        <v>182</v>
      </c>
      <c r="M669" s="42">
        <f t="shared" si="86"/>
        <v>1582</v>
      </c>
      <c r="N669" s="42">
        <f t="shared" si="87"/>
        <v>1323</v>
      </c>
      <c r="O669" s="42">
        <v>122.28</v>
      </c>
      <c r="P669" s="42">
        <f t="shared" si="88"/>
        <v>199.28</v>
      </c>
      <c r="Q669" s="42">
        <f t="shared" si="89"/>
        <v>1200.72</v>
      </c>
    </row>
    <row r="670" spans="1:17" s="9" customFormat="1" ht="20.100000000000001" customHeight="1" x14ac:dyDescent="0.3">
      <c r="A670" s="9">
        <v>668</v>
      </c>
      <c r="B670" s="9" t="s">
        <v>1415</v>
      </c>
      <c r="C670" s="9" t="s">
        <v>1416</v>
      </c>
      <c r="D670" s="9" t="s">
        <v>503</v>
      </c>
      <c r="E670" s="10">
        <v>46204</v>
      </c>
      <c r="F670" s="10">
        <v>46386</v>
      </c>
      <c r="G670" s="11">
        <v>1400</v>
      </c>
      <c r="H670" s="42">
        <v>1400</v>
      </c>
      <c r="I670" s="13">
        <v>1</v>
      </c>
      <c r="J670" s="42">
        <f t="shared" si="83"/>
        <v>1400</v>
      </c>
      <c r="K670" s="42">
        <f t="shared" si="84"/>
        <v>77</v>
      </c>
      <c r="L670" s="42">
        <f t="shared" si="85"/>
        <v>182</v>
      </c>
      <c r="M670" s="42">
        <f t="shared" si="86"/>
        <v>1582</v>
      </c>
      <c r="N670" s="42">
        <f t="shared" si="87"/>
        <v>1323</v>
      </c>
      <c r="O670" s="42">
        <v>122.28</v>
      </c>
      <c r="P670" s="42">
        <f t="shared" si="88"/>
        <v>199.28</v>
      </c>
      <c r="Q670" s="42">
        <f t="shared" si="89"/>
        <v>1200.72</v>
      </c>
    </row>
    <row r="671" spans="1:17" s="43" customFormat="1" x14ac:dyDescent="0.3">
      <c r="A671" s="43">
        <v>669</v>
      </c>
      <c r="B671" s="43" t="s">
        <v>1417</v>
      </c>
      <c r="C671" s="43" t="s">
        <v>1418</v>
      </c>
      <c r="D671" s="43" t="s">
        <v>296</v>
      </c>
      <c r="E671" s="44">
        <v>46204</v>
      </c>
      <c r="F671" s="44">
        <v>46386</v>
      </c>
      <c r="G671" s="45">
        <v>1400</v>
      </c>
      <c r="H671" s="46">
        <v>1400</v>
      </c>
      <c r="I671" s="47">
        <v>1</v>
      </c>
      <c r="J671" s="46">
        <f t="shared" si="83"/>
        <v>1400</v>
      </c>
      <c r="K671" s="46">
        <f t="shared" si="84"/>
        <v>77</v>
      </c>
      <c r="L671" s="46">
        <f t="shared" si="85"/>
        <v>182</v>
      </c>
      <c r="M671" s="46">
        <f t="shared" si="86"/>
        <v>1582</v>
      </c>
      <c r="N671" s="46">
        <f t="shared" si="87"/>
        <v>1323</v>
      </c>
      <c r="O671" s="46">
        <v>122.28</v>
      </c>
      <c r="P671" s="46">
        <f t="shared" si="88"/>
        <v>199.28</v>
      </c>
      <c r="Q671" s="46">
        <f t="shared" si="89"/>
        <v>1200.72</v>
      </c>
    </row>
    <row r="672" spans="1:17" s="43" customFormat="1" x14ac:dyDescent="0.3">
      <c r="A672" s="43">
        <v>670</v>
      </c>
      <c r="B672" s="43" t="s">
        <v>1419</v>
      </c>
      <c r="C672" s="43" t="s">
        <v>1420</v>
      </c>
      <c r="D672" s="43" t="s">
        <v>1421</v>
      </c>
      <c r="E672" s="44">
        <v>46204</v>
      </c>
      <c r="F672" s="44">
        <v>46386</v>
      </c>
      <c r="G672" s="45">
        <v>1400</v>
      </c>
      <c r="H672" s="46">
        <v>1400</v>
      </c>
      <c r="I672" s="47">
        <v>1</v>
      </c>
      <c r="J672" s="46">
        <f t="shared" si="83"/>
        <v>1400</v>
      </c>
      <c r="K672" s="46">
        <f t="shared" si="84"/>
        <v>77</v>
      </c>
      <c r="L672" s="46">
        <f t="shared" si="85"/>
        <v>182</v>
      </c>
      <c r="M672" s="46">
        <f t="shared" si="86"/>
        <v>1582</v>
      </c>
      <c r="N672" s="46">
        <f t="shared" si="87"/>
        <v>1323</v>
      </c>
      <c r="O672" s="46">
        <v>122.28</v>
      </c>
      <c r="P672" s="46">
        <f t="shared" si="88"/>
        <v>199.28</v>
      </c>
      <c r="Q672" s="46">
        <f t="shared" si="89"/>
        <v>1200.72</v>
      </c>
    </row>
    <row r="673" spans="1:17" s="43" customFormat="1" x14ac:dyDescent="0.3">
      <c r="A673" s="43">
        <v>671</v>
      </c>
      <c r="B673" s="43" t="s">
        <v>1422</v>
      </c>
      <c r="C673" s="43" t="s">
        <v>1423</v>
      </c>
      <c r="D673" s="43" t="s">
        <v>166</v>
      </c>
      <c r="E673" s="44">
        <v>46204</v>
      </c>
      <c r="F673" s="44">
        <v>46386</v>
      </c>
      <c r="G673" s="45">
        <v>1400</v>
      </c>
      <c r="H673" s="46">
        <v>1400</v>
      </c>
      <c r="I673" s="47">
        <v>1</v>
      </c>
      <c r="J673" s="46">
        <f t="shared" si="83"/>
        <v>1400</v>
      </c>
      <c r="K673" s="46">
        <f t="shared" si="84"/>
        <v>77</v>
      </c>
      <c r="L673" s="46">
        <f t="shared" si="85"/>
        <v>182</v>
      </c>
      <c r="M673" s="46">
        <f t="shared" si="86"/>
        <v>1582</v>
      </c>
      <c r="N673" s="46">
        <f t="shared" si="87"/>
        <v>1323</v>
      </c>
      <c r="O673" s="46">
        <v>122.28</v>
      </c>
      <c r="P673" s="46">
        <f t="shared" si="88"/>
        <v>199.28</v>
      </c>
      <c r="Q673" s="46">
        <f t="shared" si="89"/>
        <v>1200.72</v>
      </c>
    </row>
    <row r="674" spans="1:17" s="43" customFormat="1" x14ac:dyDescent="0.3">
      <c r="A674" s="43">
        <v>672</v>
      </c>
      <c r="B674" s="43" t="s">
        <v>1424</v>
      </c>
      <c r="C674" s="43" t="s">
        <v>1425</v>
      </c>
      <c r="D674" s="43" t="s">
        <v>932</v>
      </c>
      <c r="E674" s="44">
        <v>46204</v>
      </c>
      <c r="F674" s="44">
        <v>46386</v>
      </c>
      <c r="G674" s="45">
        <v>1400</v>
      </c>
      <c r="H674" s="46">
        <v>1400</v>
      </c>
      <c r="I674" s="47">
        <v>1</v>
      </c>
      <c r="J674" s="46">
        <f t="shared" si="83"/>
        <v>1400</v>
      </c>
      <c r="K674" s="46">
        <f t="shared" si="84"/>
        <v>77</v>
      </c>
      <c r="L674" s="46">
        <f t="shared" si="85"/>
        <v>182</v>
      </c>
      <c r="M674" s="46">
        <f t="shared" si="86"/>
        <v>1582</v>
      </c>
      <c r="N674" s="46">
        <f t="shared" si="87"/>
        <v>1323</v>
      </c>
      <c r="O674" s="46">
        <v>122.28</v>
      </c>
      <c r="P674" s="46">
        <f t="shared" si="88"/>
        <v>199.28</v>
      </c>
      <c r="Q674" s="46">
        <f t="shared" si="89"/>
        <v>1200.72</v>
      </c>
    </row>
    <row r="675" spans="1:17" s="43" customFormat="1" x14ac:dyDescent="0.3">
      <c r="A675" s="43">
        <v>673</v>
      </c>
      <c r="B675" s="43" t="s">
        <v>1426</v>
      </c>
      <c r="C675" s="43" t="s">
        <v>1427</v>
      </c>
      <c r="D675" s="43" t="s">
        <v>1428</v>
      </c>
      <c r="E675" s="44">
        <v>46143</v>
      </c>
      <c r="F675" s="44">
        <v>46325</v>
      </c>
      <c r="G675" s="45">
        <v>1400</v>
      </c>
      <c r="H675" s="46">
        <v>1400</v>
      </c>
      <c r="I675" s="47">
        <v>1</v>
      </c>
      <c r="J675" s="46">
        <f t="shared" si="83"/>
        <v>1400</v>
      </c>
      <c r="K675" s="46">
        <f t="shared" si="84"/>
        <v>77</v>
      </c>
      <c r="L675" s="46">
        <f t="shared" si="85"/>
        <v>182</v>
      </c>
      <c r="M675" s="46">
        <f t="shared" si="86"/>
        <v>1582</v>
      </c>
      <c r="N675" s="46">
        <f t="shared" si="87"/>
        <v>1323</v>
      </c>
      <c r="O675" s="46">
        <v>122.28</v>
      </c>
      <c r="P675" s="46">
        <f t="shared" si="88"/>
        <v>199.28</v>
      </c>
      <c r="Q675" s="46">
        <f t="shared" si="89"/>
        <v>1200.72</v>
      </c>
    </row>
    <row r="676" spans="1:17" s="43" customFormat="1" x14ac:dyDescent="0.3">
      <c r="A676" s="43">
        <v>674</v>
      </c>
      <c r="B676" s="43" t="s">
        <v>1429</v>
      </c>
      <c r="C676" s="43" t="s">
        <v>1430</v>
      </c>
      <c r="D676" s="43" t="s">
        <v>1428</v>
      </c>
      <c r="E676" s="44">
        <v>46143</v>
      </c>
      <c r="F676" s="44">
        <v>46325</v>
      </c>
      <c r="G676" s="45">
        <v>1400</v>
      </c>
      <c r="H676" s="46">
        <v>1400</v>
      </c>
      <c r="I676" s="47">
        <v>1</v>
      </c>
      <c r="J676" s="46">
        <f t="shared" si="83"/>
        <v>1400</v>
      </c>
      <c r="K676" s="46">
        <f t="shared" si="84"/>
        <v>77</v>
      </c>
      <c r="L676" s="46">
        <f t="shared" si="85"/>
        <v>182</v>
      </c>
      <c r="M676" s="46">
        <f t="shared" si="86"/>
        <v>1582</v>
      </c>
      <c r="N676" s="46">
        <f t="shared" si="87"/>
        <v>1323</v>
      </c>
      <c r="O676" s="46">
        <v>122.28</v>
      </c>
      <c r="P676" s="46">
        <f t="shared" si="88"/>
        <v>199.28</v>
      </c>
      <c r="Q676" s="46">
        <f t="shared" si="89"/>
        <v>1200.72</v>
      </c>
    </row>
    <row r="677" spans="1:17" s="43" customFormat="1" x14ac:dyDescent="0.3">
      <c r="A677" s="43">
        <v>675</v>
      </c>
      <c r="B677" s="43" t="s">
        <v>1431</v>
      </c>
      <c r="C677" s="43" t="s">
        <v>1432</v>
      </c>
      <c r="D677" s="43" t="s">
        <v>1428</v>
      </c>
      <c r="E677" s="44">
        <v>46143</v>
      </c>
      <c r="F677" s="44">
        <v>46325</v>
      </c>
      <c r="G677" s="45">
        <v>1400</v>
      </c>
      <c r="H677" s="46">
        <v>1400</v>
      </c>
      <c r="I677" s="47">
        <v>1</v>
      </c>
      <c r="J677" s="46">
        <f t="shared" si="83"/>
        <v>1400</v>
      </c>
      <c r="K677" s="46">
        <f t="shared" si="84"/>
        <v>77</v>
      </c>
      <c r="L677" s="46">
        <f t="shared" si="85"/>
        <v>182</v>
      </c>
      <c r="M677" s="46">
        <f t="shared" si="86"/>
        <v>1582</v>
      </c>
      <c r="N677" s="46">
        <f t="shared" si="87"/>
        <v>1323</v>
      </c>
      <c r="O677" s="46">
        <v>122.28</v>
      </c>
      <c r="P677" s="46">
        <f t="shared" si="88"/>
        <v>199.28</v>
      </c>
      <c r="Q677" s="46">
        <f t="shared" si="89"/>
        <v>1200.72</v>
      </c>
    </row>
    <row r="678" spans="1:17" s="43" customFormat="1" x14ac:dyDescent="0.3">
      <c r="A678" s="43">
        <v>676</v>
      </c>
      <c r="B678" s="43" t="s">
        <v>1433</v>
      </c>
      <c r="C678" s="43" t="s">
        <v>1434</v>
      </c>
      <c r="D678" s="43" t="s">
        <v>1428</v>
      </c>
      <c r="E678" s="44">
        <v>46143</v>
      </c>
      <c r="F678" s="44">
        <v>46325</v>
      </c>
      <c r="G678" s="45">
        <v>1400</v>
      </c>
      <c r="H678" s="46">
        <v>1400</v>
      </c>
      <c r="I678" s="47">
        <v>1</v>
      </c>
      <c r="J678" s="46">
        <f t="shared" si="83"/>
        <v>1400</v>
      </c>
      <c r="K678" s="46">
        <f t="shared" si="84"/>
        <v>77</v>
      </c>
      <c r="L678" s="46">
        <f t="shared" si="85"/>
        <v>182</v>
      </c>
      <c r="M678" s="46">
        <f t="shared" si="86"/>
        <v>1582</v>
      </c>
      <c r="N678" s="46">
        <f t="shared" si="87"/>
        <v>1323</v>
      </c>
      <c r="O678" s="46">
        <v>122.28</v>
      </c>
      <c r="P678" s="46">
        <f t="shared" si="88"/>
        <v>199.28</v>
      </c>
      <c r="Q678" s="46">
        <f t="shared" si="89"/>
        <v>1200.72</v>
      </c>
    </row>
    <row r="679" spans="1:17" s="43" customFormat="1" x14ac:dyDescent="0.3">
      <c r="A679" s="43">
        <v>677</v>
      </c>
      <c r="B679" s="43" t="s">
        <v>1435</v>
      </c>
      <c r="C679" s="43" t="s">
        <v>1436</v>
      </c>
      <c r="D679" s="43" t="s">
        <v>1428</v>
      </c>
      <c r="E679" s="44">
        <v>46143</v>
      </c>
      <c r="F679" s="44">
        <v>46325</v>
      </c>
      <c r="G679" s="45">
        <v>1400</v>
      </c>
      <c r="H679" s="46">
        <v>1400</v>
      </c>
      <c r="I679" s="47">
        <v>1</v>
      </c>
      <c r="J679" s="46">
        <f t="shared" si="83"/>
        <v>1400</v>
      </c>
      <c r="K679" s="46">
        <f t="shared" si="84"/>
        <v>77</v>
      </c>
      <c r="L679" s="46">
        <f t="shared" si="85"/>
        <v>182</v>
      </c>
      <c r="M679" s="46">
        <f t="shared" si="86"/>
        <v>1582</v>
      </c>
      <c r="N679" s="46">
        <f t="shared" si="87"/>
        <v>1323</v>
      </c>
      <c r="O679" s="46">
        <v>122.28</v>
      </c>
      <c r="P679" s="46">
        <f t="shared" si="88"/>
        <v>199.28</v>
      </c>
      <c r="Q679" s="46">
        <f t="shared" si="89"/>
        <v>1200.72</v>
      </c>
    </row>
    <row r="680" spans="1:17" s="43" customFormat="1" x14ac:dyDescent="0.3">
      <c r="A680" s="43">
        <v>678</v>
      </c>
      <c r="B680" s="43" t="s">
        <v>1437</v>
      </c>
      <c r="C680" s="43" t="s">
        <v>1438</v>
      </c>
      <c r="D680" s="43" t="s">
        <v>1439</v>
      </c>
      <c r="E680" s="44">
        <v>46204</v>
      </c>
      <c r="F680" s="44">
        <v>46386</v>
      </c>
      <c r="G680" s="45">
        <v>1400</v>
      </c>
      <c r="H680" s="46">
        <v>1400</v>
      </c>
      <c r="I680" s="47">
        <v>1</v>
      </c>
      <c r="J680" s="46">
        <f t="shared" si="83"/>
        <v>1400</v>
      </c>
      <c r="K680" s="46">
        <f t="shared" si="84"/>
        <v>77</v>
      </c>
      <c r="L680" s="46">
        <f t="shared" si="85"/>
        <v>182</v>
      </c>
      <c r="M680" s="46">
        <f t="shared" si="86"/>
        <v>1582</v>
      </c>
      <c r="N680" s="46">
        <f t="shared" si="87"/>
        <v>1323</v>
      </c>
      <c r="O680" s="46">
        <v>122.28</v>
      </c>
      <c r="P680" s="46">
        <f t="shared" si="88"/>
        <v>199.28</v>
      </c>
      <c r="Q680" s="46">
        <f t="shared" si="89"/>
        <v>1200.72</v>
      </c>
    </row>
    <row r="681" spans="1:17" s="43" customFormat="1" x14ac:dyDescent="0.3">
      <c r="A681" s="43">
        <v>679</v>
      </c>
      <c r="B681" s="43" t="s">
        <v>1440</v>
      </c>
      <c r="C681" s="43" t="s">
        <v>1441</v>
      </c>
      <c r="D681" s="43" t="s">
        <v>1439</v>
      </c>
      <c r="E681" s="44">
        <v>46204</v>
      </c>
      <c r="F681" s="44">
        <v>46386</v>
      </c>
      <c r="G681" s="45">
        <v>1400</v>
      </c>
      <c r="H681" s="46">
        <v>1400</v>
      </c>
      <c r="I681" s="47">
        <v>1</v>
      </c>
      <c r="J681" s="46">
        <f t="shared" si="83"/>
        <v>1400</v>
      </c>
      <c r="K681" s="46">
        <f t="shared" si="84"/>
        <v>77</v>
      </c>
      <c r="L681" s="46">
        <f t="shared" si="85"/>
        <v>182</v>
      </c>
      <c r="M681" s="46">
        <f t="shared" si="86"/>
        <v>1582</v>
      </c>
      <c r="N681" s="46">
        <f t="shared" si="87"/>
        <v>1323</v>
      </c>
      <c r="O681" s="46">
        <v>122.28</v>
      </c>
      <c r="P681" s="46">
        <f t="shared" si="88"/>
        <v>199.28</v>
      </c>
      <c r="Q681" s="46">
        <f t="shared" si="89"/>
        <v>1200.72</v>
      </c>
    </row>
    <row r="682" spans="1:17" s="43" customFormat="1" x14ac:dyDescent="0.3">
      <c r="A682" s="43">
        <v>680</v>
      </c>
      <c r="B682" s="43" t="s">
        <v>1442</v>
      </c>
      <c r="C682" s="43" t="s">
        <v>1443</v>
      </c>
      <c r="D682" s="43" t="s">
        <v>1444</v>
      </c>
      <c r="E682" s="44">
        <v>46204</v>
      </c>
      <c r="F682" s="44">
        <v>46386</v>
      </c>
      <c r="G682" s="45">
        <v>1400</v>
      </c>
      <c r="H682" s="46">
        <v>1400</v>
      </c>
      <c r="I682" s="47">
        <v>1</v>
      </c>
      <c r="J682" s="46">
        <f t="shared" si="83"/>
        <v>1400</v>
      </c>
      <c r="K682" s="46">
        <f t="shared" si="84"/>
        <v>77</v>
      </c>
      <c r="L682" s="46">
        <f t="shared" si="85"/>
        <v>182</v>
      </c>
      <c r="M682" s="46">
        <f t="shared" si="86"/>
        <v>1582</v>
      </c>
      <c r="N682" s="46">
        <f t="shared" si="87"/>
        <v>1323</v>
      </c>
      <c r="O682" s="46">
        <v>122.28</v>
      </c>
      <c r="P682" s="46">
        <f t="shared" si="88"/>
        <v>199.28</v>
      </c>
      <c r="Q682" s="46">
        <f t="shared" si="89"/>
        <v>1200.72</v>
      </c>
    </row>
    <row r="683" spans="1:17" s="5" customFormat="1" x14ac:dyDescent="0.3">
      <c r="C683" s="5" t="s">
        <v>1445</v>
      </c>
      <c r="G683" s="48">
        <f>SUM(G3:G682)</f>
        <v>961900</v>
      </c>
      <c r="H683" s="49">
        <f>SUM(H3:H682)</f>
        <v>961900</v>
      </c>
      <c r="I683" s="50"/>
      <c r="J683" s="51">
        <f>SUM(J3:J682)</f>
        <v>961900</v>
      </c>
      <c r="K683" s="51">
        <f>SUM(K3:K682)</f>
        <v>52904.5</v>
      </c>
      <c r="L683" s="51">
        <f>SUM(L3:L682)</f>
        <v>125047</v>
      </c>
      <c r="M683" s="51">
        <f>J683+L683</f>
        <v>1086947</v>
      </c>
      <c r="N683" s="51">
        <f>J683-K683</f>
        <v>908995.5</v>
      </c>
      <c r="O683" s="51">
        <f>SUM(O3:O682)</f>
        <v>84787.5899999994</v>
      </c>
      <c r="P683" s="51">
        <f>SUM(P3:P682)</f>
        <v>137692.08999999936</v>
      </c>
      <c r="Q683" s="49">
        <f>SUM(Q3:Q682)</f>
        <v>824207.90999998734</v>
      </c>
    </row>
    <row r="685" spans="1:17" x14ac:dyDescent="0.3">
      <c r="C685" s="52" t="s">
        <v>1446</v>
      </c>
      <c r="D685" s="53"/>
    </row>
    <row r="686" spans="1:17" x14ac:dyDescent="0.3">
      <c r="C686" s="55"/>
      <c r="D686" s="56"/>
    </row>
    <row r="687" spans="1:17" x14ac:dyDescent="0.3">
      <c r="C687" s="5" t="s">
        <v>1447</v>
      </c>
      <c r="D687" s="5" t="s">
        <v>1448</v>
      </c>
    </row>
    <row r="688" spans="1:17" x14ac:dyDescent="0.3">
      <c r="C688" s="23" t="s">
        <v>1449</v>
      </c>
      <c r="D688" s="57">
        <v>695</v>
      </c>
    </row>
    <row r="689" spans="3:4" x14ac:dyDescent="0.3">
      <c r="C689" s="23" t="s">
        <v>1450</v>
      </c>
      <c r="D689" s="57">
        <v>23</v>
      </c>
    </row>
    <row r="690" spans="3:4" x14ac:dyDescent="0.3">
      <c r="C690" s="5" t="s">
        <v>1451</v>
      </c>
      <c r="D690" s="5">
        <f>D688+D689</f>
        <v>718</v>
      </c>
    </row>
    <row r="691" spans="3:4" x14ac:dyDescent="0.3">
      <c r="C691" s="23" t="s">
        <v>1452</v>
      </c>
      <c r="D691" s="23">
        <v>12</v>
      </c>
    </row>
    <row r="692" spans="3:4" x14ac:dyDescent="0.3">
      <c r="C692" s="23" t="s">
        <v>1453</v>
      </c>
      <c r="D692" s="5">
        <v>27</v>
      </c>
    </row>
    <row r="693" spans="3:4" x14ac:dyDescent="0.3">
      <c r="C693" s="5" t="s">
        <v>1445</v>
      </c>
      <c r="D693" s="5">
        <f>SUM(D690:D692)</f>
        <v>757</v>
      </c>
    </row>
    <row r="694" spans="3:4" x14ac:dyDescent="0.3">
      <c r="C694" s="23" t="s">
        <v>1454</v>
      </c>
    </row>
    <row r="695" spans="3:4" x14ac:dyDescent="0.3">
      <c r="C695" s="23" t="s">
        <v>1455</v>
      </c>
      <c r="D695" s="23">
        <v>52</v>
      </c>
    </row>
    <row r="696" spans="3:4" x14ac:dyDescent="0.3">
      <c r="C696" s="23" t="s">
        <v>1456</v>
      </c>
      <c r="D696" s="23">
        <v>25</v>
      </c>
    </row>
    <row r="697" spans="3:4" x14ac:dyDescent="0.3">
      <c r="C697" s="23" t="s">
        <v>1457</v>
      </c>
      <c r="D697" s="57">
        <f>D695+D696</f>
        <v>77</v>
      </c>
    </row>
    <row r="698" spans="3:4" x14ac:dyDescent="0.3">
      <c r="C698" s="5" t="s">
        <v>1458</v>
      </c>
      <c r="D698" s="5">
        <f>D693-D697</f>
        <v>680</v>
      </c>
    </row>
    <row r="701" spans="3:4" x14ac:dyDescent="0.3">
      <c r="C701" s="58" t="s">
        <v>1459</v>
      </c>
      <c r="D701" s="59"/>
    </row>
    <row r="702" spans="3:4" x14ac:dyDescent="0.3">
      <c r="C702" s="23" t="s">
        <v>1460</v>
      </c>
      <c r="D702" s="23">
        <v>7</v>
      </c>
    </row>
    <row r="703" spans="3:4" x14ac:dyDescent="0.3">
      <c r="C703" s="23" t="s">
        <v>1461</v>
      </c>
      <c r="D703" s="23">
        <v>1</v>
      </c>
    </row>
    <row r="704" spans="3:4" x14ac:dyDescent="0.3">
      <c r="C704" s="23" t="s">
        <v>1462</v>
      </c>
      <c r="D704" s="23">
        <v>1</v>
      </c>
    </row>
    <row r="705" spans="3:4" x14ac:dyDescent="0.3">
      <c r="C705" s="5" t="s">
        <v>1463</v>
      </c>
      <c r="D705" s="5">
        <f>D702+D703+D704</f>
        <v>9</v>
      </c>
    </row>
  </sheetData>
  <autoFilter ref="G1:G734" xr:uid="{15063942-D9DE-4860-BACB-7DE19AE972DD}"/>
  <mergeCells count="3">
    <mergeCell ref="A1:F1"/>
    <mergeCell ref="C685:D686"/>
    <mergeCell ref="C701:D701"/>
  </mergeCells>
  <conditionalFormatting sqref="B1:B1048576">
    <cfRule type="duplicateValues" dxfId="3046" priority="6"/>
  </conditionalFormatting>
  <conditionalFormatting sqref="B49:B52">
    <cfRule type="duplicateValues" dxfId="3045" priority="2960"/>
  </conditionalFormatting>
  <conditionalFormatting sqref="B53">
    <cfRule type="duplicateValues" dxfId="3044" priority="2968"/>
  </conditionalFormatting>
  <conditionalFormatting sqref="B54">
    <cfRule type="duplicateValues" dxfId="3043" priority="2940"/>
  </conditionalFormatting>
  <conditionalFormatting sqref="B180">
    <cfRule type="duplicateValues" dxfId="3042" priority="2950"/>
  </conditionalFormatting>
  <conditionalFormatting sqref="B184">
    <cfRule type="duplicateValues" dxfId="3041" priority="2957"/>
  </conditionalFormatting>
  <conditionalFormatting sqref="B201">
    <cfRule type="duplicateValues" dxfId="3040" priority="1105"/>
  </conditionalFormatting>
  <conditionalFormatting sqref="B226:B228">
    <cfRule type="duplicateValues" dxfId="3039" priority="2916"/>
  </conditionalFormatting>
  <conditionalFormatting sqref="B229:B230">
    <cfRule type="duplicateValues" dxfId="3038" priority="2901"/>
  </conditionalFormatting>
  <conditionalFormatting sqref="B231:B232">
    <cfRule type="duplicateValues" dxfId="3037" priority="2887"/>
  </conditionalFormatting>
  <conditionalFormatting sqref="B233:B235">
    <cfRule type="duplicateValues" dxfId="3036" priority="2876"/>
  </conditionalFormatting>
  <conditionalFormatting sqref="B236">
    <cfRule type="duplicateValues" dxfId="3035" priority="2863"/>
  </conditionalFormatting>
  <conditionalFormatting sqref="B237">
    <cfRule type="duplicateValues" dxfId="3034" priority="2850"/>
  </conditionalFormatting>
  <conditionalFormatting sqref="B238">
    <cfRule type="duplicateValues" dxfId="3033" priority="2839"/>
  </conditionalFormatting>
  <conditionalFormatting sqref="B239">
    <cfRule type="duplicateValues" dxfId="3032" priority="2826"/>
  </conditionalFormatting>
  <conditionalFormatting sqref="B241">
    <cfRule type="duplicateValues" dxfId="3031" priority="2803"/>
  </conditionalFormatting>
  <conditionalFormatting sqref="B242">
    <cfRule type="duplicateValues" dxfId="3030" priority="2792"/>
  </conditionalFormatting>
  <conditionalFormatting sqref="B243">
    <cfRule type="duplicateValues" dxfId="3029" priority="2781"/>
  </conditionalFormatting>
  <conditionalFormatting sqref="B244">
    <cfRule type="duplicateValues" dxfId="3028" priority="2780"/>
  </conditionalFormatting>
  <conditionalFormatting sqref="B245">
    <cfRule type="duplicateValues" dxfId="3027" priority="2779"/>
  </conditionalFormatting>
  <conditionalFormatting sqref="B246">
    <cfRule type="duplicateValues" dxfId="3026" priority="2770"/>
  </conditionalFormatting>
  <conditionalFormatting sqref="B247">
    <cfRule type="duplicateValues" dxfId="3025" priority="2761"/>
  </conditionalFormatting>
  <conditionalFormatting sqref="B248">
    <cfRule type="duplicateValues" dxfId="3024" priority="2758"/>
  </conditionalFormatting>
  <conditionalFormatting sqref="B249">
    <cfRule type="duplicateValues" dxfId="3023" priority="2755"/>
  </conditionalFormatting>
  <conditionalFormatting sqref="B251">
    <cfRule type="duplicateValues" dxfId="3022" priority="2743"/>
  </conditionalFormatting>
  <conditionalFormatting sqref="B254">
    <cfRule type="duplicateValues" dxfId="3021" priority="2927"/>
  </conditionalFormatting>
  <conditionalFormatting sqref="B255">
    <cfRule type="duplicateValues" dxfId="3020" priority="2729"/>
  </conditionalFormatting>
  <conditionalFormatting sqref="B256">
    <cfRule type="duplicateValues" dxfId="3019" priority="2702"/>
  </conditionalFormatting>
  <conditionalFormatting sqref="B257">
    <cfRule type="duplicateValues" dxfId="3018" priority="2691"/>
  </conditionalFormatting>
  <conditionalFormatting sqref="B258">
    <cfRule type="duplicateValues" dxfId="3017" priority="2680"/>
  </conditionalFormatting>
  <conditionalFormatting sqref="B269">
    <cfRule type="duplicateValues" dxfId="3016" priority="2317"/>
    <cfRule type="duplicateValues" dxfId="3015" priority="2318"/>
  </conditionalFormatting>
  <conditionalFormatting sqref="B270">
    <cfRule type="duplicateValues" dxfId="3014" priority="2306"/>
    <cfRule type="duplicateValues" dxfId="3013" priority="2307"/>
  </conditionalFormatting>
  <conditionalFormatting sqref="B271">
    <cfRule type="duplicateValues" dxfId="3012" priority="2295"/>
    <cfRule type="duplicateValues" dxfId="3011" priority="2296"/>
  </conditionalFormatting>
  <conditionalFormatting sqref="B272">
    <cfRule type="duplicateValues" dxfId="3010" priority="2285"/>
    <cfRule type="duplicateValues" dxfId="3009" priority="2286"/>
  </conditionalFormatting>
  <conditionalFormatting sqref="B273">
    <cfRule type="duplicateValues" dxfId="3007" priority="2274"/>
    <cfRule type="duplicateValues" dxfId="3008" priority="2275"/>
  </conditionalFormatting>
  <conditionalFormatting sqref="B274">
    <cfRule type="duplicateValues" dxfId="3005" priority="2263"/>
    <cfRule type="duplicateValues" dxfId="3006" priority="2264"/>
  </conditionalFormatting>
  <conditionalFormatting sqref="B275">
    <cfRule type="duplicateValues" dxfId="3004" priority="2248"/>
    <cfRule type="duplicateValues" dxfId="3003" priority="2249"/>
  </conditionalFormatting>
  <conditionalFormatting sqref="B276">
    <cfRule type="duplicateValues" dxfId="3002" priority="2237"/>
    <cfRule type="duplicateValues" dxfId="3001" priority="2238"/>
  </conditionalFormatting>
  <conditionalFormatting sqref="B277">
    <cfRule type="duplicateValues" dxfId="2999" priority="2234"/>
    <cfRule type="duplicateValues" dxfId="3000" priority="2235"/>
  </conditionalFormatting>
  <conditionalFormatting sqref="B278">
    <cfRule type="duplicateValues" dxfId="2997" priority="2224"/>
    <cfRule type="duplicateValues" dxfId="2998" priority="2225"/>
  </conditionalFormatting>
  <conditionalFormatting sqref="B279">
    <cfRule type="duplicateValues" dxfId="2996" priority="2213"/>
    <cfRule type="duplicateValues" dxfId="2995" priority="2214"/>
  </conditionalFormatting>
  <conditionalFormatting sqref="B280">
    <cfRule type="duplicateValues" dxfId="2994" priority="2198"/>
    <cfRule type="duplicateValues" dxfId="2993" priority="2199"/>
  </conditionalFormatting>
  <conditionalFormatting sqref="B281">
    <cfRule type="duplicateValues" dxfId="2992" priority="2187"/>
  </conditionalFormatting>
  <conditionalFormatting sqref="B282">
    <cfRule type="duplicateValues" dxfId="2990" priority="2174"/>
    <cfRule type="duplicateValues" dxfId="2991" priority="2175"/>
  </conditionalFormatting>
  <conditionalFormatting sqref="B283">
    <cfRule type="duplicateValues" dxfId="2988" priority="2166"/>
    <cfRule type="duplicateValues" dxfId="2989" priority="2167"/>
  </conditionalFormatting>
  <conditionalFormatting sqref="B284">
    <cfRule type="duplicateValues" dxfId="2986" priority="2156"/>
    <cfRule type="duplicateValues" dxfId="2987" priority="2157"/>
  </conditionalFormatting>
  <conditionalFormatting sqref="B285">
    <cfRule type="duplicateValues" dxfId="2984" priority="2145"/>
    <cfRule type="duplicateValues" dxfId="2985" priority="2146"/>
  </conditionalFormatting>
  <conditionalFormatting sqref="B286">
    <cfRule type="duplicateValues" dxfId="2983" priority="2131"/>
  </conditionalFormatting>
  <conditionalFormatting sqref="B287">
    <cfRule type="duplicateValues" dxfId="2981" priority="2120"/>
    <cfRule type="duplicateValues" dxfId="2982" priority="2121"/>
  </conditionalFormatting>
  <conditionalFormatting sqref="B288">
    <cfRule type="duplicateValues" dxfId="2979" priority="2106"/>
    <cfRule type="duplicateValues" dxfId="2980" priority="2107"/>
  </conditionalFormatting>
  <conditionalFormatting sqref="B289">
    <cfRule type="duplicateValues" dxfId="2977" priority="2095"/>
    <cfRule type="duplicateValues" dxfId="2978" priority="2096"/>
  </conditionalFormatting>
  <conditionalFormatting sqref="B290">
    <cfRule type="duplicateValues" dxfId="2976" priority="2082"/>
  </conditionalFormatting>
  <conditionalFormatting sqref="B290:B291">
    <cfRule type="duplicateValues" dxfId="2975" priority="2075"/>
  </conditionalFormatting>
  <conditionalFormatting sqref="B291">
    <cfRule type="duplicateValues" dxfId="2974" priority="2076"/>
  </conditionalFormatting>
  <conditionalFormatting sqref="B292">
    <cfRule type="duplicateValues" dxfId="2973" priority="2069"/>
  </conditionalFormatting>
  <conditionalFormatting sqref="B294">
    <cfRule type="duplicateValues" dxfId="2972" priority="2656"/>
  </conditionalFormatting>
  <conditionalFormatting sqref="B295:B297">
    <cfRule type="duplicateValues" dxfId="2971" priority="2648"/>
  </conditionalFormatting>
  <conditionalFormatting sqref="B298">
    <cfRule type="duplicateValues" dxfId="2970" priority="2645"/>
  </conditionalFormatting>
  <conditionalFormatting sqref="B299">
    <cfRule type="duplicateValues" dxfId="2969" priority="2634"/>
  </conditionalFormatting>
  <conditionalFormatting sqref="B300">
    <cfRule type="duplicateValues" dxfId="2968" priority="2623"/>
  </conditionalFormatting>
  <conditionalFormatting sqref="B301">
    <cfRule type="duplicateValues" dxfId="2967" priority="2612"/>
  </conditionalFormatting>
  <conditionalFormatting sqref="B302">
    <cfRule type="duplicateValues" dxfId="2966" priority="2599"/>
  </conditionalFormatting>
  <conditionalFormatting sqref="B303">
    <cfRule type="duplicateValues" dxfId="2965" priority="2596"/>
  </conditionalFormatting>
  <conditionalFormatting sqref="B304">
    <cfRule type="duplicateValues" dxfId="2964" priority="2585"/>
  </conditionalFormatting>
  <conditionalFormatting sqref="B305">
    <cfRule type="duplicateValues" dxfId="2963" priority="2572"/>
  </conditionalFormatting>
  <conditionalFormatting sqref="B306">
    <cfRule type="duplicateValues" dxfId="2962" priority="2561"/>
  </conditionalFormatting>
  <conditionalFormatting sqref="B307">
    <cfRule type="duplicateValues" dxfId="2961" priority="2550"/>
  </conditionalFormatting>
  <conditionalFormatting sqref="B308">
    <cfRule type="duplicateValues" dxfId="2960" priority="2536"/>
  </conditionalFormatting>
  <conditionalFormatting sqref="B309">
    <cfRule type="duplicateValues" dxfId="2959" priority="2525"/>
  </conditionalFormatting>
  <conditionalFormatting sqref="B310">
    <cfRule type="duplicateValues" dxfId="2958" priority="2524"/>
  </conditionalFormatting>
  <conditionalFormatting sqref="B311">
    <cfRule type="duplicateValues" dxfId="2957" priority="2513"/>
  </conditionalFormatting>
  <conditionalFormatting sqref="B312">
    <cfRule type="duplicateValues" dxfId="2956" priority="2502"/>
  </conditionalFormatting>
  <conditionalFormatting sqref="B313">
    <cfRule type="duplicateValues" dxfId="2955" priority="2491"/>
  </conditionalFormatting>
  <conditionalFormatting sqref="B314">
    <cfRule type="duplicateValues" dxfId="2954" priority="2478"/>
  </conditionalFormatting>
  <conditionalFormatting sqref="B315">
    <cfRule type="duplicateValues" dxfId="2953" priority="2464"/>
  </conditionalFormatting>
  <conditionalFormatting sqref="B316">
    <cfRule type="duplicateValues" dxfId="2952" priority="2451"/>
  </conditionalFormatting>
  <conditionalFormatting sqref="B317">
    <cfRule type="duplicateValues" dxfId="2951" priority="2438"/>
  </conditionalFormatting>
  <conditionalFormatting sqref="B318">
    <cfRule type="duplicateValues" dxfId="2950" priority="2425"/>
  </conditionalFormatting>
  <conditionalFormatting sqref="B319">
    <cfRule type="duplicateValues" dxfId="2949" priority="2414"/>
  </conditionalFormatting>
  <conditionalFormatting sqref="B320">
    <cfRule type="duplicateValues" dxfId="2948" priority="2403"/>
  </conditionalFormatting>
  <conditionalFormatting sqref="B321">
    <cfRule type="duplicateValues" dxfId="2947" priority="2392"/>
  </conditionalFormatting>
  <conditionalFormatting sqref="B322">
    <cfRule type="duplicateValues" dxfId="2946" priority="2381"/>
  </conditionalFormatting>
  <conditionalFormatting sqref="B323">
    <cfRule type="duplicateValues" dxfId="2945" priority="2370"/>
  </conditionalFormatting>
  <conditionalFormatting sqref="B324">
    <cfRule type="duplicateValues" dxfId="2944" priority="2357"/>
  </conditionalFormatting>
  <conditionalFormatting sqref="B325">
    <cfRule type="duplicateValues" dxfId="2943" priority="2346"/>
  </conditionalFormatting>
  <conditionalFormatting sqref="B326">
    <cfRule type="duplicateValues" dxfId="2942" priority="2991"/>
  </conditionalFormatting>
  <conditionalFormatting sqref="B327">
    <cfRule type="duplicateValues" dxfId="2941" priority="2667"/>
  </conditionalFormatting>
  <conditionalFormatting sqref="B328">
    <cfRule type="duplicateValues" dxfId="2939" priority="2331"/>
    <cfRule type="duplicateValues" dxfId="2940" priority="2332"/>
  </conditionalFormatting>
  <conditionalFormatting sqref="B329">
    <cfRule type="duplicateValues" dxfId="2938" priority="2067"/>
  </conditionalFormatting>
  <conditionalFormatting sqref="B364">
    <cfRule type="duplicateValues" dxfId="2937" priority="2006"/>
  </conditionalFormatting>
  <conditionalFormatting sqref="B364:B365">
    <cfRule type="duplicateValues" dxfId="2936" priority="1999"/>
  </conditionalFormatting>
  <conditionalFormatting sqref="B365">
    <cfRule type="duplicateValues" dxfId="2935" priority="2000"/>
  </conditionalFormatting>
  <conditionalFormatting sqref="B366:B367">
    <cfRule type="duplicateValues" dxfId="2934" priority="1976"/>
  </conditionalFormatting>
  <conditionalFormatting sqref="B368">
    <cfRule type="duplicateValues" dxfId="2933" priority="1963"/>
  </conditionalFormatting>
  <conditionalFormatting sqref="B369">
    <cfRule type="duplicateValues" dxfId="2931" priority="1950"/>
    <cfRule type="duplicateValues" dxfId="2932" priority="1951"/>
  </conditionalFormatting>
  <conditionalFormatting sqref="B370">
    <cfRule type="duplicateValues" dxfId="2930" priority="1937"/>
    <cfRule type="duplicateValues" dxfId="2929" priority="1938"/>
  </conditionalFormatting>
  <conditionalFormatting sqref="B371">
    <cfRule type="duplicateValues" dxfId="2928" priority="1924"/>
  </conditionalFormatting>
  <conditionalFormatting sqref="B372">
    <cfRule type="duplicateValues" dxfId="2927" priority="1915"/>
  </conditionalFormatting>
  <conditionalFormatting sqref="B373">
    <cfRule type="duplicateValues" dxfId="2926" priority="1905"/>
  </conditionalFormatting>
  <conditionalFormatting sqref="B374">
    <cfRule type="duplicateValues" dxfId="2925" priority="2994"/>
  </conditionalFormatting>
  <conditionalFormatting sqref="B375">
    <cfRule type="duplicateValues" dxfId="2924" priority="1894"/>
  </conditionalFormatting>
  <conditionalFormatting sqref="B376">
    <cfRule type="duplicateValues" dxfId="2922" priority="1883"/>
    <cfRule type="duplicateValues" dxfId="2923" priority="1884"/>
  </conditionalFormatting>
  <conditionalFormatting sqref="B377">
    <cfRule type="duplicateValues" dxfId="2921" priority="1871"/>
  </conditionalFormatting>
  <conditionalFormatting sqref="B378">
    <cfRule type="duplicateValues" dxfId="2920" priority="1869"/>
  </conditionalFormatting>
  <conditionalFormatting sqref="B379">
    <cfRule type="duplicateValues" dxfId="2919" priority="1855"/>
  </conditionalFormatting>
  <conditionalFormatting sqref="B380">
    <cfRule type="duplicateValues" dxfId="2918" priority="1853"/>
  </conditionalFormatting>
  <conditionalFormatting sqref="B381">
    <cfRule type="duplicateValues" dxfId="2917" priority="1842"/>
  </conditionalFormatting>
  <conditionalFormatting sqref="B382">
    <cfRule type="duplicateValues" dxfId="2915" priority="1830"/>
    <cfRule type="duplicateValues" dxfId="2916" priority="1831"/>
  </conditionalFormatting>
  <conditionalFormatting sqref="B383">
    <cfRule type="duplicateValues" dxfId="2914" priority="1816"/>
  </conditionalFormatting>
  <conditionalFormatting sqref="B384">
    <cfRule type="duplicateValues" dxfId="2913" priority="1802"/>
  </conditionalFormatting>
  <conditionalFormatting sqref="B385">
    <cfRule type="duplicateValues" dxfId="2912" priority="1787"/>
  </conditionalFormatting>
  <conditionalFormatting sqref="B385:B386">
    <cfRule type="duplicateValues" dxfId="2911" priority="1786"/>
  </conditionalFormatting>
  <conditionalFormatting sqref="B388">
    <cfRule type="duplicateValues" dxfId="2910" priority="1759"/>
  </conditionalFormatting>
  <conditionalFormatting sqref="B389">
    <cfRule type="duplicateValues" dxfId="2909" priority="1748"/>
  </conditionalFormatting>
  <conditionalFormatting sqref="B390">
    <cfRule type="duplicateValues" dxfId="2908" priority="1736"/>
  </conditionalFormatting>
  <conditionalFormatting sqref="B391">
    <cfRule type="duplicateValues" dxfId="2907" priority="1724"/>
  </conditionalFormatting>
  <conditionalFormatting sqref="B392">
    <cfRule type="duplicateValues" dxfId="2906" priority="1713"/>
  </conditionalFormatting>
  <conditionalFormatting sqref="B393">
    <cfRule type="duplicateValues" dxfId="2905" priority="1706"/>
  </conditionalFormatting>
  <conditionalFormatting sqref="B394">
    <cfRule type="duplicateValues" dxfId="2904" priority="1703"/>
  </conditionalFormatting>
  <conditionalFormatting sqref="B395">
    <cfRule type="duplicateValues" dxfId="2903" priority="1692"/>
  </conditionalFormatting>
  <conditionalFormatting sqref="B396">
    <cfRule type="duplicateValues" dxfId="2902" priority="1684"/>
  </conditionalFormatting>
  <conditionalFormatting sqref="B397">
    <cfRule type="duplicateValues" dxfId="2901" priority="1679"/>
  </conditionalFormatting>
  <conditionalFormatting sqref="B398">
    <cfRule type="duplicateValues" dxfId="2900" priority="1675"/>
  </conditionalFormatting>
  <conditionalFormatting sqref="B399">
    <cfRule type="duplicateValues" dxfId="2899" priority="1669"/>
  </conditionalFormatting>
  <conditionalFormatting sqref="B400">
    <cfRule type="duplicateValues" dxfId="2898" priority="1664"/>
  </conditionalFormatting>
  <conditionalFormatting sqref="B401">
    <cfRule type="duplicateValues" dxfId="2897" priority="1659"/>
  </conditionalFormatting>
  <conditionalFormatting sqref="B402">
    <cfRule type="duplicateValues" dxfId="2896" priority="1654"/>
  </conditionalFormatting>
  <conditionalFormatting sqref="B403">
    <cfRule type="duplicateValues" dxfId="2895" priority="1649"/>
  </conditionalFormatting>
  <conditionalFormatting sqref="B404">
    <cfRule type="duplicateValues" dxfId="2894" priority="1644"/>
  </conditionalFormatting>
  <conditionalFormatting sqref="B405:B407">
    <cfRule type="duplicateValues" dxfId="2893" priority="1637"/>
  </conditionalFormatting>
  <conditionalFormatting sqref="B406">
    <cfRule type="duplicateValues" dxfId="2892" priority="1638"/>
  </conditionalFormatting>
  <conditionalFormatting sqref="B408">
    <cfRule type="duplicateValues" dxfId="2891" priority="1632"/>
  </conditionalFormatting>
  <conditionalFormatting sqref="B409">
    <cfRule type="duplicateValues" dxfId="2890" priority="1627"/>
  </conditionalFormatting>
  <conditionalFormatting sqref="B410">
    <cfRule type="duplicateValues" dxfId="2889" priority="1616"/>
  </conditionalFormatting>
  <conditionalFormatting sqref="B411">
    <cfRule type="duplicateValues" dxfId="2888" priority="1612"/>
  </conditionalFormatting>
  <conditionalFormatting sqref="B412">
    <cfRule type="duplicateValues" dxfId="2887" priority="1607"/>
  </conditionalFormatting>
  <conditionalFormatting sqref="B413">
    <cfRule type="duplicateValues" dxfId="2886" priority="1602"/>
  </conditionalFormatting>
  <conditionalFormatting sqref="B414:B418">
    <cfRule type="duplicateValues" dxfId="2885" priority="1589"/>
  </conditionalFormatting>
  <conditionalFormatting sqref="B419">
    <cfRule type="duplicateValues" dxfId="2884" priority="1581"/>
  </conditionalFormatting>
  <conditionalFormatting sqref="B420">
    <cfRule type="duplicateValues" dxfId="2883" priority="1569"/>
  </conditionalFormatting>
  <conditionalFormatting sqref="B421">
    <cfRule type="duplicateValues" dxfId="2882" priority="1488"/>
  </conditionalFormatting>
  <conditionalFormatting sqref="B423">
    <cfRule type="duplicateValues" dxfId="2881" priority="1477"/>
  </conditionalFormatting>
  <conditionalFormatting sqref="B424">
    <cfRule type="duplicateValues" dxfId="2880" priority="1467"/>
  </conditionalFormatting>
  <conditionalFormatting sqref="B425">
    <cfRule type="duplicateValues" dxfId="2879" priority="1458"/>
  </conditionalFormatting>
  <conditionalFormatting sqref="B426">
    <cfRule type="duplicateValues" dxfId="2878" priority="1454"/>
  </conditionalFormatting>
  <conditionalFormatting sqref="B427">
    <cfRule type="duplicateValues" dxfId="2877" priority="1448"/>
  </conditionalFormatting>
  <conditionalFormatting sqref="B428">
    <cfRule type="duplicateValues" dxfId="2876" priority="1439"/>
  </conditionalFormatting>
  <conditionalFormatting sqref="B429">
    <cfRule type="duplicateValues" dxfId="2875" priority="1545"/>
  </conditionalFormatting>
  <conditionalFormatting sqref="B431">
    <cfRule type="duplicateValues" dxfId="2874" priority="1538"/>
  </conditionalFormatting>
  <conditionalFormatting sqref="B432">
    <cfRule type="duplicateValues" dxfId="2873" priority="1534"/>
  </conditionalFormatting>
  <conditionalFormatting sqref="B433">
    <cfRule type="duplicateValues" dxfId="2872" priority="1529"/>
  </conditionalFormatting>
  <conditionalFormatting sqref="B434">
    <cfRule type="duplicateValues" dxfId="2871" priority="1525"/>
  </conditionalFormatting>
  <conditionalFormatting sqref="B435">
    <cfRule type="duplicateValues" dxfId="2870" priority="1561"/>
  </conditionalFormatting>
  <conditionalFormatting sqref="B437">
    <cfRule type="duplicateValues" dxfId="2869" priority="1520"/>
  </conditionalFormatting>
  <conditionalFormatting sqref="B437:B438 B432:B434">
    <cfRule type="duplicateValues" dxfId="2868" priority="2992"/>
  </conditionalFormatting>
  <conditionalFormatting sqref="B438">
    <cfRule type="duplicateValues" dxfId="2867" priority="1516"/>
  </conditionalFormatting>
  <conditionalFormatting sqref="B439">
    <cfRule type="duplicateValues" dxfId="2866" priority="1510"/>
  </conditionalFormatting>
  <conditionalFormatting sqref="B440">
    <cfRule type="duplicateValues" dxfId="2865" priority="1437"/>
  </conditionalFormatting>
  <conditionalFormatting sqref="B441">
    <cfRule type="duplicateValues" dxfId="2864" priority="1495"/>
  </conditionalFormatting>
  <conditionalFormatting sqref="B442">
    <cfRule type="duplicateValues" dxfId="2863" priority="1502"/>
  </conditionalFormatting>
  <conditionalFormatting sqref="B443">
    <cfRule type="duplicateValues" dxfId="2862" priority="1428"/>
  </conditionalFormatting>
  <conditionalFormatting sqref="B444">
    <cfRule type="duplicateValues" dxfId="2861" priority="2055"/>
  </conditionalFormatting>
  <conditionalFormatting sqref="B445">
    <cfRule type="duplicateValues" dxfId="2860" priority="1990"/>
  </conditionalFormatting>
  <conditionalFormatting sqref="B446">
    <cfRule type="duplicateValues" dxfId="2859" priority="2042"/>
    <cfRule type="duplicateValues" dxfId="2858" priority="2043"/>
  </conditionalFormatting>
  <conditionalFormatting sqref="B447">
    <cfRule type="duplicateValues" dxfId="2857" priority="2030"/>
  </conditionalFormatting>
  <conditionalFormatting sqref="B448">
    <cfRule type="duplicateValues" dxfId="2856" priority="2027"/>
  </conditionalFormatting>
  <conditionalFormatting sqref="B449">
    <cfRule type="duplicateValues" dxfId="2855" priority="2019"/>
  </conditionalFormatting>
  <conditionalFormatting sqref="B450">
    <cfRule type="duplicateValues" dxfId="2854" priority="2995"/>
  </conditionalFormatting>
  <conditionalFormatting sqref="B451">
    <cfRule type="duplicateValues" dxfId="2853" priority="1412"/>
  </conditionalFormatting>
  <conditionalFormatting sqref="B451:B453">
    <cfRule type="duplicateValues" dxfId="2852" priority="1426"/>
  </conditionalFormatting>
  <conditionalFormatting sqref="B452">
    <cfRule type="duplicateValues" dxfId="2851" priority="1406"/>
  </conditionalFormatting>
  <conditionalFormatting sqref="B453">
    <cfRule type="duplicateValues" dxfId="2850" priority="1400"/>
  </conditionalFormatting>
  <conditionalFormatting sqref="B455">
    <cfRule type="duplicateValues" dxfId="2849" priority="1395"/>
  </conditionalFormatting>
  <conditionalFormatting sqref="B457">
    <cfRule type="duplicateValues" dxfId="2848" priority="1378"/>
  </conditionalFormatting>
  <conditionalFormatting sqref="B458">
    <cfRule type="duplicateValues" dxfId="2847" priority="1369"/>
  </conditionalFormatting>
  <conditionalFormatting sqref="B459">
    <cfRule type="duplicateValues" dxfId="2846" priority="1360"/>
  </conditionalFormatting>
  <conditionalFormatting sqref="B460">
    <cfRule type="duplicateValues" dxfId="2844" priority="1348"/>
    <cfRule type="duplicateValues" dxfId="2845" priority="1349"/>
  </conditionalFormatting>
  <conditionalFormatting sqref="B461">
    <cfRule type="duplicateValues" dxfId="2843" priority="1334"/>
    <cfRule type="duplicateValues" dxfId="2842" priority="1335"/>
  </conditionalFormatting>
  <conditionalFormatting sqref="B462">
    <cfRule type="duplicateValues" dxfId="2841" priority="1324"/>
  </conditionalFormatting>
  <conditionalFormatting sqref="B463">
    <cfRule type="duplicateValues" dxfId="2840" priority="1389"/>
  </conditionalFormatting>
  <conditionalFormatting sqref="B464:B466">
    <cfRule type="duplicateValues" dxfId="2839" priority="1323"/>
  </conditionalFormatting>
  <conditionalFormatting sqref="B467 B469 B471 B473 B475 B477 B479 B481 B483 B485 B487 B489 B491:B493">
    <cfRule type="duplicateValues" dxfId="2838" priority="1427"/>
  </conditionalFormatting>
  <conditionalFormatting sqref="B494">
    <cfRule type="duplicateValues" dxfId="2837" priority="1117"/>
  </conditionalFormatting>
  <conditionalFormatting sqref="B495">
    <cfRule type="duplicateValues" dxfId="2835" priority="1166"/>
    <cfRule type="duplicateValues" dxfId="2836" priority="1167"/>
  </conditionalFormatting>
  <conditionalFormatting sqref="B496">
    <cfRule type="duplicateValues" dxfId="2834" priority="1301"/>
  </conditionalFormatting>
  <conditionalFormatting sqref="B496:B498">
    <cfRule type="duplicateValues" dxfId="2833" priority="1288"/>
  </conditionalFormatting>
  <conditionalFormatting sqref="B497">
    <cfRule type="duplicateValues" dxfId="2832" priority="1295"/>
  </conditionalFormatting>
  <conditionalFormatting sqref="B498">
    <cfRule type="duplicateValues" dxfId="2831" priority="1289"/>
  </conditionalFormatting>
  <conditionalFormatting sqref="B499">
    <cfRule type="duplicateValues" dxfId="2830" priority="1285"/>
    <cfRule type="duplicateValues" dxfId="2829" priority="1286"/>
  </conditionalFormatting>
  <conditionalFormatting sqref="B500">
    <cfRule type="duplicateValues" dxfId="2828" priority="1179"/>
  </conditionalFormatting>
  <conditionalFormatting sqref="B501">
    <cfRule type="duplicateValues" dxfId="2827" priority="1272"/>
  </conditionalFormatting>
  <conditionalFormatting sqref="B501:B508">
    <cfRule type="duplicateValues" dxfId="2826" priority="1229"/>
  </conditionalFormatting>
  <conditionalFormatting sqref="B502">
    <cfRule type="duplicateValues" dxfId="2825" priority="1266"/>
  </conditionalFormatting>
  <conditionalFormatting sqref="B503">
    <cfRule type="duplicateValues" dxfId="2824" priority="1260"/>
  </conditionalFormatting>
  <conditionalFormatting sqref="B504">
    <cfRule type="duplicateValues" dxfId="2823" priority="1254"/>
  </conditionalFormatting>
  <conditionalFormatting sqref="B505">
    <cfRule type="duplicateValues" dxfId="2822" priority="1248"/>
  </conditionalFormatting>
  <conditionalFormatting sqref="B506">
    <cfRule type="duplicateValues" dxfId="2821" priority="1242"/>
  </conditionalFormatting>
  <conditionalFormatting sqref="B507">
    <cfRule type="duplicateValues" dxfId="2820" priority="1236"/>
  </conditionalFormatting>
  <conditionalFormatting sqref="B508">
    <cfRule type="duplicateValues" dxfId="2819" priority="1230"/>
  </conditionalFormatting>
  <conditionalFormatting sqref="B509">
    <cfRule type="duplicateValues" dxfId="2818" priority="1225"/>
  </conditionalFormatting>
  <conditionalFormatting sqref="B510:B511">
    <cfRule type="duplicateValues" dxfId="2817" priority="1213"/>
  </conditionalFormatting>
  <conditionalFormatting sqref="B512">
    <cfRule type="duplicateValues" dxfId="2816" priority="1209"/>
  </conditionalFormatting>
  <conditionalFormatting sqref="B513">
    <cfRule type="duplicateValues" dxfId="2815" priority="1197"/>
  </conditionalFormatting>
  <conditionalFormatting sqref="B514">
    <cfRule type="duplicateValues" dxfId="2814" priority="1195"/>
  </conditionalFormatting>
  <conditionalFormatting sqref="B515">
    <cfRule type="duplicateValues" dxfId="2812" priority="1153"/>
    <cfRule type="duplicateValues" dxfId="2813" priority="1154"/>
  </conditionalFormatting>
  <conditionalFormatting sqref="B516">
    <cfRule type="duplicateValues" dxfId="2811" priority="1141"/>
  </conditionalFormatting>
  <conditionalFormatting sqref="B518:B520">
    <cfRule type="duplicateValues" dxfId="2810" priority="1119"/>
  </conditionalFormatting>
  <conditionalFormatting sqref="B521 B524 B527 B530">
    <cfRule type="duplicateValues" dxfId="2809" priority="1081"/>
  </conditionalFormatting>
  <conditionalFormatting sqref="B521:B532">
    <cfRule type="duplicateValues" dxfId="2808" priority="1080"/>
  </conditionalFormatting>
  <conditionalFormatting sqref="B533:B538">
    <cfRule type="duplicateValues" dxfId="2807" priority="1067"/>
  </conditionalFormatting>
  <conditionalFormatting sqref="B539:B540">
    <cfRule type="duplicateValues" dxfId="2806" priority="1055"/>
  </conditionalFormatting>
  <conditionalFormatting sqref="B541">
    <cfRule type="duplicateValues" dxfId="2805" priority="1044"/>
  </conditionalFormatting>
  <conditionalFormatting sqref="B542">
    <cfRule type="duplicateValues" dxfId="2804" priority="1028"/>
  </conditionalFormatting>
  <conditionalFormatting sqref="B543">
    <cfRule type="duplicateValues" dxfId="2803" priority="1013"/>
  </conditionalFormatting>
  <conditionalFormatting sqref="B544">
    <cfRule type="duplicateValues" dxfId="2801" priority="1000"/>
    <cfRule type="duplicateValues" dxfId="2802" priority="1001"/>
  </conditionalFormatting>
  <conditionalFormatting sqref="B545:B546">
    <cfRule type="duplicateValues" dxfId="2800" priority="988"/>
  </conditionalFormatting>
  <conditionalFormatting sqref="B547">
    <cfRule type="duplicateValues" dxfId="2799" priority="978"/>
  </conditionalFormatting>
  <conditionalFormatting sqref="B549">
    <cfRule type="duplicateValues" dxfId="2798" priority="962"/>
  </conditionalFormatting>
  <conditionalFormatting sqref="B550">
    <cfRule type="duplicateValues" dxfId="2797" priority="947"/>
    <cfRule type="duplicateValues" dxfId="2796" priority="951"/>
  </conditionalFormatting>
  <conditionalFormatting sqref="B551">
    <cfRule type="duplicateValues" dxfId="2795" priority="937"/>
  </conditionalFormatting>
  <conditionalFormatting sqref="B553">
    <cfRule type="duplicateValues" dxfId="2794" priority="922"/>
  </conditionalFormatting>
  <conditionalFormatting sqref="B554">
    <cfRule type="duplicateValues" dxfId="2793" priority="907"/>
  </conditionalFormatting>
  <conditionalFormatting sqref="B555">
    <cfRule type="duplicateValues" dxfId="2792" priority="901"/>
  </conditionalFormatting>
  <conditionalFormatting sqref="B556">
    <cfRule type="duplicateValues" dxfId="2791" priority="889"/>
  </conditionalFormatting>
  <conditionalFormatting sqref="B557">
    <cfRule type="duplicateValues" dxfId="2789" priority="877"/>
    <cfRule type="duplicateValues" dxfId="2790" priority="878"/>
  </conditionalFormatting>
  <conditionalFormatting sqref="B558">
    <cfRule type="duplicateValues" dxfId="2788" priority="864"/>
  </conditionalFormatting>
  <conditionalFormatting sqref="B559">
    <cfRule type="duplicateValues" dxfId="2787" priority="851"/>
  </conditionalFormatting>
  <conditionalFormatting sqref="B560">
    <cfRule type="duplicateValues" dxfId="2786" priority="838"/>
  </conditionalFormatting>
  <conditionalFormatting sqref="B561">
    <cfRule type="duplicateValues" dxfId="2785" priority="823"/>
    <cfRule type="duplicateValues" dxfId="2784" priority="824"/>
  </conditionalFormatting>
  <conditionalFormatting sqref="B562">
    <cfRule type="duplicateValues" dxfId="2783" priority="815"/>
  </conditionalFormatting>
  <conditionalFormatting sqref="B563">
    <cfRule type="duplicateValues" dxfId="2782" priority="803"/>
  </conditionalFormatting>
  <conditionalFormatting sqref="B564:B565">
    <cfRule type="duplicateValues" dxfId="2780" priority="3010"/>
    <cfRule type="duplicateValues" dxfId="2781" priority="3011"/>
  </conditionalFormatting>
  <conditionalFormatting sqref="B567">
    <cfRule type="duplicateValues" dxfId="2779" priority="790"/>
  </conditionalFormatting>
  <conditionalFormatting sqref="B568">
    <cfRule type="duplicateValues" dxfId="2778" priority="775"/>
  </conditionalFormatting>
  <conditionalFormatting sqref="B569">
    <cfRule type="duplicateValues" dxfId="2777" priority="762"/>
    <cfRule type="duplicateValues" dxfId="2776" priority="764"/>
  </conditionalFormatting>
  <conditionalFormatting sqref="B570">
    <cfRule type="duplicateValues" dxfId="2775" priority="747"/>
  </conditionalFormatting>
  <conditionalFormatting sqref="B571">
    <cfRule type="duplicateValues" dxfId="2773" priority="732"/>
    <cfRule type="duplicateValues" dxfId="2774" priority="733"/>
  </conditionalFormatting>
  <conditionalFormatting sqref="B572">
    <cfRule type="duplicateValues" dxfId="2772" priority="720"/>
    <cfRule type="duplicateValues" dxfId="2771" priority="722"/>
  </conditionalFormatting>
  <conditionalFormatting sqref="B573">
    <cfRule type="duplicateValues" dxfId="2770" priority="711"/>
  </conditionalFormatting>
  <conditionalFormatting sqref="B574">
    <cfRule type="duplicateValues" dxfId="2769" priority="702"/>
  </conditionalFormatting>
  <conditionalFormatting sqref="B575">
    <cfRule type="duplicateValues" dxfId="2768" priority="694"/>
  </conditionalFormatting>
  <conditionalFormatting sqref="B576">
    <cfRule type="duplicateValues" dxfId="2767" priority="684"/>
  </conditionalFormatting>
  <conditionalFormatting sqref="B577">
    <cfRule type="duplicateValues" dxfId="2766" priority="675"/>
  </conditionalFormatting>
  <conditionalFormatting sqref="B578:B579">
    <cfRule type="duplicateValues" dxfId="2765" priority="3019"/>
    <cfRule type="duplicateValues" dxfId="2764" priority="3020"/>
  </conditionalFormatting>
  <conditionalFormatting sqref="B580">
    <cfRule type="duplicateValues" dxfId="2763" priority="672"/>
    <cfRule type="duplicateValues" dxfId="2762" priority="673"/>
  </conditionalFormatting>
  <conditionalFormatting sqref="B581 B583 B585 B587 B589 B591 B593 B595">
    <cfRule type="duplicateValues" dxfId="2761" priority="669"/>
    <cfRule type="duplicateValues" dxfId="2760" priority="670"/>
    <cfRule type="duplicateValues" dxfId="2759" priority="671"/>
  </conditionalFormatting>
  <conditionalFormatting sqref="B582 B584 B586 B588 B590 B592 B594">
    <cfRule type="duplicateValues" dxfId="2756" priority="666"/>
    <cfRule type="duplicateValues" dxfId="2758" priority="667"/>
    <cfRule type="duplicateValues" dxfId="2757" priority="668"/>
  </conditionalFormatting>
  <conditionalFormatting sqref="B596">
    <cfRule type="duplicateValues" dxfId="2755" priority="568"/>
  </conditionalFormatting>
  <conditionalFormatting sqref="B596:B616">
    <cfRule type="duplicateValues" dxfId="2754" priority="3033"/>
  </conditionalFormatting>
  <conditionalFormatting sqref="B597">
    <cfRule type="duplicateValues" dxfId="2753" priority="562"/>
  </conditionalFormatting>
  <conditionalFormatting sqref="B598">
    <cfRule type="duplicateValues" dxfId="2752" priority="556"/>
  </conditionalFormatting>
  <conditionalFormatting sqref="B599">
    <cfRule type="duplicateValues" dxfId="2751" priority="550"/>
  </conditionalFormatting>
  <conditionalFormatting sqref="B600:B603">
    <cfRule type="duplicateValues" dxfId="2750" priority="573"/>
  </conditionalFormatting>
  <conditionalFormatting sqref="B604">
    <cfRule type="duplicateValues" dxfId="2749" priority="540"/>
  </conditionalFormatting>
  <conditionalFormatting sqref="B605">
    <cfRule type="duplicateValues" dxfId="2748" priority="534"/>
  </conditionalFormatting>
  <conditionalFormatting sqref="B606">
    <cfRule type="duplicateValues" dxfId="2747" priority="528"/>
  </conditionalFormatting>
  <conditionalFormatting sqref="B607">
    <cfRule type="duplicateValues" dxfId="2746" priority="522"/>
  </conditionalFormatting>
  <conditionalFormatting sqref="B608">
    <cfRule type="duplicateValues" dxfId="2745" priority="518"/>
  </conditionalFormatting>
  <conditionalFormatting sqref="B609">
    <cfRule type="duplicateValues" dxfId="2744" priority="514"/>
  </conditionalFormatting>
  <conditionalFormatting sqref="B610">
    <cfRule type="duplicateValues" dxfId="2743" priority="508"/>
  </conditionalFormatting>
  <conditionalFormatting sqref="B611">
    <cfRule type="duplicateValues" dxfId="2742" priority="502"/>
  </conditionalFormatting>
  <conditionalFormatting sqref="B612">
    <cfRule type="duplicateValues" dxfId="2741" priority="497"/>
  </conditionalFormatting>
  <conditionalFormatting sqref="B613:B616">
    <cfRule type="duplicateValues" dxfId="2740" priority="3034"/>
  </conditionalFormatting>
  <conditionalFormatting sqref="B617">
    <cfRule type="duplicateValues" dxfId="2739" priority="490"/>
  </conditionalFormatting>
  <conditionalFormatting sqref="B618">
    <cfRule type="duplicateValues" dxfId="2738" priority="479"/>
  </conditionalFormatting>
  <conditionalFormatting sqref="B619">
    <cfRule type="duplicateValues" dxfId="2737" priority="465"/>
    <cfRule type="duplicateValues" dxfId="2736" priority="466"/>
  </conditionalFormatting>
  <conditionalFormatting sqref="B620">
    <cfRule type="duplicateValues" dxfId="2735" priority="453"/>
  </conditionalFormatting>
  <conditionalFormatting sqref="B621">
    <cfRule type="duplicateValues" dxfId="2734" priority="435"/>
  </conditionalFormatting>
  <conditionalFormatting sqref="B621:B628">
    <cfRule type="duplicateValues" dxfId="2733" priority="417"/>
  </conditionalFormatting>
  <conditionalFormatting sqref="B622">
    <cfRule type="duplicateValues" dxfId="2732" priority="430"/>
  </conditionalFormatting>
  <conditionalFormatting sqref="B623">
    <cfRule type="duplicateValues" dxfId="2731" priority="424"/>
  </conditionalFormatting>
  <conditionalFormatting sqref="B624:B625">
    <cfRule type="duplicateValues" dxfId="2730" priority="421"/>
  </conditionalFormatting>
  <conditionalFormatting sqref="B626:B628">
    <cfRule type="duplicateValues" dxfId="2729" priority="448"/>
  </conditionalFormatting>
  <conditionalFormatting sqref="B629">
    <cfRule type="duplicateValues" dxfId="2728" priority="402"/>
    <cfRule type="duplicateValues" dxfId="2727" priority="403"/>
  </conditionalFormatting>
  <conditionalFormatting sqref="B630">
    <cfRule type="duplicateValues" dxfId="2726" priority="399"/>
  </conditionalFormatting>
  <conditionalFormatting sqref="B631">
    <cfRule type="duplicateValues" dxfId="2725" priority="396"/>
  </conditionalFormatting>
  <conditionalFormatting sqref="B632">
    <cfRule type="duplicateValues" dxfId="2724" priority="393"/>
  </conditionalFormatting>
  <conditionalFormatting sqref="B633">
    <cfRule type="duplicateValues" dxfId="2723" priority="387"/>
  </conditionalFormatting>
  <conditionalFormatting sqref="B634">
    <cfRule type="duplicateValues" dxfId="2722" priority="390"/>
  </conditionalFormatting>
  <conditionalFormatting sqref="B635">
    <cfRule type="duplicateValues" dxfId="2720" priority="372"/>
    <cfRule type="duplicateValues" dxfId="2718" priority="383"/>
    <cfRule type="duplicateValues" dxfId="2719" priority="385"/>
    <cfRule type="duplicateValues" dxfId="2721" priority="386"/>
  </conditionalFormatting>
  <conditionalFormatting sqref="B636">
    <cfRule type="duplicateValues" dxfId="2716" priority="359"/>
    <cfRule type="duplicateValues" dxfId="2717" priority="360"/>
  </conditionalFormatting>
  <conditionalFormatting sqref="B637">
    <cfRule type="duplicateValues" dxfId="2715" priority="358"/>
  </conditionalFormatting>
  <conditionalFormatting sqref="B638">
    <cfRule type="duplicateValues" dxfId="2714" priority="351"/>
  </conditionalFormatting>
  <conditionalFormatting sqref="B639">
    <cfRule type="duplicateValues" dxfId="2713" priority="344"/>
  </conditionalFormatting>
  <conditionalFormatting sqref="B640">
    <cfRule type="duplicateValues" dxfId="2712" priority="337"/>
  </conditionalFormatting>
  <conditionalFormatting sqref="B641">
    <cfRule type="duplicateValues" dxfId="2711" priority="330"/>
  </conditionalFormatting>
  <conditionalFormatting sqref="B642">
    <cfRule type="duplicateValues" dxfId="2710" priority="323"/>
  </conditionalFormatting>
  <conditionalFormatting sqref="B643">
    <cfRule type="duplicateValues" dxfId="2709" priority="318"/>
  </conditionalFormatting>
  <conditionalFormatting sqref="B644">
    <cfRule type="duplicateValues" dxfId="2708" priority="311"/>
  </conditionalFormatting>
  <conditionalFormatting sqref="B645">
    <cfRule type="duplicateValues" dxfId="2707" priority="290"/>
    <cfRule type="duplicateValues" dxfId="2706" priority="299"/>
  </conditionalFormatting>
  <conditionalFormatting sqref="B646">
    <cfRule type="duplicateValues" dxfId="2705" priority="288"/>
  </conditionalFormatting>
  <conditionalFormatting sqref="B647">
    <cfRule type="duplicateValues" dxfId="2704" priority="281"/>
  </conditionalFormatting>
  <conditionalFormatting sqref="B648">
    <cfRule type="duplicateValues" dxfId="2703" priority="274"/>
  </conditionalFormatting>
  <conditionalFormatting sqref="B649">
    <cfRule type="duplicateValues" dxfId="2702" priority="267"/>
  </conditionalFormatting>
  <conditionalFormatting sqref="B650">
    <cfRule type="duplicateValues" dxfId="2699" priority="247"/>
    <cfRule type="duplicateValues" dxfId="2700" priority="258"/>
    <cfRule type="duplicateValues" dxfId="2701" priority="260"/>
    <cfRule type="duplicateValues" dxfId="2698" priority="261"/>
  </conditionalFormatting>
  <conditionalFormatting sqref="B651">
    <cfRule type="duplicateValues" dxfId="2694" priority="232"/>
    <cfRule type="duplicateValues" dxfId="2695" priority="243"/>
    <cfRule type="duplicateValues" dxfId="2696" priority="245"/>
    <cfRule type="duplicateValues" dxfId="2697" priority="246"/>
  </conditionalFormatting>
  <conditionalFormatting sqref="B652">
    <cfRule type="duplicateValues" dxfId="2693" priority="217"/>
    <cfRule type="duplicateValues" dxfId="2690" priority="228"/>
    <cfRule type="duplicateValues" dxfId="2692" priority="230"/>
    <cfRule type="duplicateValues" dxfId="2691" priority="231"/>
  </conditionalFormatting>
  <conditionalFormatting sqref="B653">
    <cfRule type="duplicateValues" dxfId="2689" priority="202"/>
    <cfRule type="duplicateValues" dxfId="2687" priority="213"/>
    <cfRule type="duplicateValues" dxfId="2686" priority="215"/>
    <cfRule type="duplicateValues" dxfId="2688" priority="216"/>
  </conditionalFormatting>
  <conditionalFormatting sqref="B654">
    <cfRule type="duplicateValues" dxfId="2685" priority="187"/>
    <cfRule type="duplicateValues" dxfId="2682" priority="198"/>
    <cfRule type="duplicateValues" dxfId="2683" priority="200"/>
    <cfRule type="duplicateValues" dxfId="2684" priority="201"/>
  </conditionalFormatting>
  <conditionalFormatting sqref="B655">
    <cfRule type="duplicateValues" dxfId="2681" priority="172"/>
    <cfRule type="duplicateValues" dxfId="2680" priority="183"/>
    <cfRule type="duplicateValues" dxfId="2678" priority="185"/>
    <cfRule type="duplicateValues" dxfId="2679" priority="186"/>
  </conditionalFormatting>
  <conditionalFormatting sqref="B656">
    <cfRule type="duplicateValues" dxfId="2677" priority="157"/>
    <cfRule type="duplicateValues" dxfId="2676" priority="168"/>
    <cfRule type="duplicateValues" dxfId="2674" priority="170"/>
    <cfRule type="duplicateValues" dxfId="2675" priority="171"/>
  </conditionalFormatting>
  <conditionalFormatting sqref="B657">
    <cfRule type="duplicateValues" dxfId="2672" priority="142"/>
    <cfRule type="duplicateValues" dxfId="2671" priority="153"/>
    <cfRule type="duplicateValues" dxfId="2670" priority="155"/>
    <cfRule type="duplicateValues" dxfId="2673" priority="156"/>
  </conditionalFormatting>
  <conditionalFormatting sqref="B658">
    <cfRule type="duplicateValues" dxfId="2667" priority="127"/>
    <cfRule type="duplicateValues" dxfId="2669" priority="130"/>
    <cfRule type="duplicateValues" dxfId="2668" priority="131"/>
    <cfRule type="duplicateValues" dxfId="2666" priority="140"/>
    <cfRule type="duplicateValues" dxfId="2665" priority="141"/>
  </conditionalFormatting>
  <conditionalFormatting sqref="B659">
    <cfRule type="duplicateValues" dxfId="2662" priority="122"/>
    <cfRule type="duplicateValues" dxfId="2664" priority="124"/>
    <cfRule type="duplicateValues" dxfId="2663" priority="126"/>
  </conditionalFormatting>
  <conditionalFormatting sqref="B660:B661">
    <cfRule type="duplicateValues" dxfId="2661" priority="113"/>
  </conditionalFormatting>
  <conditionalFormatting sqref="B662">
    <cfRule type="duplicateValues" dxfId="2660" priority="101"/>
    <cfRule type="duplicateValues" dxfId="2659" priority="103"/>
  </conditionalFormatting>
  <conditionalFormatting sqref="B663">
    <cfRule type="duplicateValues" dxfId="2657" priority="87"/>
    <cfRule type="duplicateValues" dxfId="2658" priority="88"/>
  </conditionalFormatting>
  <conditionalFormatting sqref="B664">
    <cfRule type="duplicateValues" dxfId="2655" priority="73"/>
    <cfRule type="duplicateValues" dxfId="2656" priority="77"/>
  </conditionalFormatting>
  <conditionalFormatting sqref="B665">
    <cfRule type="duplicateValues" dxfId="2653" priority="60"/>
    <cfRule type="duplicateValues" dxfId="2654" priority="61"/>
  </conditionalFormatting>
  <conditionalFormatting sqref="B666">
    <cfRule type="duplicateValues" dxfId="2651" priority="44"/>
    <cfRule type="duplicateValues" dxfId="2652" priority="46"/>
  </conditionalFormatting>
  <conditionalFormatting sqref="B667">
    <cfRule type="duplicateValues" dxfId="2648" priority="29"/>
    <cfRule type="duplicateValues" dxfId="2647" priority="31"/>
    <cfRule type="duplicateValues" dxfId="2646" priority="40"/>
    <cfRule type="duplicateValues" dxfId="2650" priority="41"/>
    <cfRule type="duplicateValues" dxfId="2649" priority="42"/>
  </conditionalFormatting>
  <conditionalFormatting sqref="B668">
    <cfRule type="duplicateValues" dxfId="2645" priority="23"/>
  </conditionalFormatting>
  <conditionalFormatting sqref="B669:B670">
    <cfRule type="duplicateValues" dxfId="2642" priority="8"/>
    <cfRule type="duplicateValues" dxfId="2643" priority="19"/>
    <cfRule type="duplicateValues" dxfId="2641" priority="21"/>
    <cfRule type="duplicateValues" dxfId="2644" priority="22"/>
  </conditionalFormatting>
  <conditionalFormatting sqref="B671:B682">
    <cfRule type="duplicateValues" dxfId="2640" priority="28"/>
  </conditionalFormatting>
  <conditionalFormatting sqref="B683 B700:B1048576 B1:B595">
    <cfRule type="duplicateValues" dxfId="2639" priority="3046"/>
  </conditionalFormatting>
  <conditionalFormatting sqref="B683 B700:B1048576 B2:B200 B202:B493">
    <cfRule type="duplicateValues" dxfId="2638" priority="3044"/>
  </conditionalFormatting>
  <conditionalFormatting sqref="B683 B700:B1048576 B467:B493 B2:B200 B202:B455">
    <cfRule type="duplicateValues" dxfId="2637" priority="3045"/>
  </conditionalFormatting>
  <conditionalFormatting sqref="B687:B1048576 B1:B667 B671:B684">
    <cfRule type="duplicateValues" dxfId="2636" priority="25"/>
    <cfRule type="duplicateValues" dxfId="2635" priority="26"/>
    <cfRule type="duplicateValues" dxfId="2634" priority="27"/>
  </conditionalFormatting>
  <conditionalFormatting sqref="B700:B1048576 B259:B268 B293 B330:B363 B2:B200 B202:B255">
    <cfRule type="duplicateValues" dxfId="2633" priority="3043"/>
  </conditionalFormatting>
  <conditionalFormatting sqref="C1:C1048576">
    <cfRule type="duplicateValues" dxfId="2632" priority="7"/>
  </conditionalFormatting>
  <conditionalFormatting sqref="C2:C11 C13:C15">
    <cfRule type="duplicateValues" dxfId="2628" priority="2972"/>
    <cfRule type="duplicateValues" dxfId="2626" priority="2973"/>
    <cfRule type="duplicateValues" dxfId="2630" priority="2974"/>
    <cfRule type="duplicateValues" dxfId="2631" priority="2975"/>
    <cfRule type="duplicateValues" dxfId="2629" priority="2976"/>
    <cfRule type="duplicateValues" dxfId="2627" priority="2977"/>
    <cfRule type="duplicateValues" dxfId="2625" priority="2978"/>
  </conditionalFormatting>
  <conditionalFormatting sqref="C12">
    <cfRule type="duplicateValues" dxfId="2623" priority="664"/>
    <cfRule type="duplicateValues" dxfId="2624" priority="665"/>
  </conditionalFormatting>
  <conditionalFormatting sqref="C20">
    <cfRule type="duplicateValues" dxfId="2612" priority="586"/>
    <cfRule type="duplicateValues" dxfId="2611" priority="587"/>
    <cfRule type="duplicateValues" dxfId="2622" priority="588"/>
    <cfRule type="duplicateValues" dxfId="2614" priority="589"/>
    <cfRule type="duplicateValues" dxfId="2621" priority="590"/>
    <cfRule type="duplicateValues" dxfId="2613" priority="591"/>
    <cfRule type="duplicateValues" dxfId="2620" priority="592"/>
    <cfRule type="duplicateValues" dxfId="2619" priority="593"/>
    <cfRule type="duplicateValues" dxfId="2618" priority="594"/>
    <cfRule type="duplicateValues" dxfId="2617" priority="595"/>
    <cfRule type="duplicateValues" dxfId="2616" priority="596"/>
    <cfRule type="duplicateValues" dxfId="2615" priority="597"/>
  </conditionalFormatting>
  <conditionalFormatting sqref="C26">
    <cfRule type="duplicateValues" dxfId="2609" priority="660"/>
    <cfRule type="duplicateValues" dxfId="2610" priority="661"/>
  </conditionalFormatting>
  <conditionalFormatting sqref="C30">
    <cfRule type="duplicateValues" dxfId="2598" priority="575"/>
    <cfRule type="duplicateValues" dxfId="2599" priority="576"/>
    <cfRule type="duplicateValues" dxfId="2600" priority="577"/>
    <cfRule type="duplicateValues" dxfId="2601" priority="578"/>
    <cfRule type="duplicateValues" dxfId="2607" priority="579"/>
    <cfRule type="duplicateValues" dxfId="2608" priority="580"/>
    <cfRule type="duplicateValues" dxfId="2603" priority="581"/>
    <cfRule type="duplicateValues" dxfId="2604" priority="582"/>
    <cfRule type="duplicateValues" dxfId="2605" priority="583"/>
    <cfRule type="duplicateValues" dxfId="2606" priority="584"/>
    <cfRule type="duplicateValues" dxfId="2602" priority="585"/>
  </conditionalFormatting>
  <conditionalFormatting sqref="C36">
    <cfRule type="duplicateValues" dxfId="2596" priority="658"/>
    <cfRule type="duplicateValues" dxfId="2597" priority="659"/>
  </conditionalFormatting>
  <conditionalFormatting sqref="C46">
    <cfRule type="duplicateValues" dxfId="2595" priority="2956"/>
  </conditionalFormatting>
  <conditionalFormatting sqref="C53">
    <cfRule type="duplicateValues" dxfId="2592" priority="2969"/>
    <cfRule type="duplicateValues" dxfId="2594" priority="2970"/>
    <cfRule type="duplicateValues" dxfId="2593" priority="2971"/>
  </conditionalFormatting>
  <conditionalFormatting sqref="C54">
    <cfRule type="duplicateValues" dxfId="2588" priority="2941"/>
    <cfRule type="duplicateValues" dxfId="2587" priority="2942"/>
    <cfRule type="duplicateValues" dxfId="2591" priority="2943"/>
    <cfRule type="duplicateValues" dxfId="2590" priority="2944"/>
    <cfRule type="duplicateValues" dxfId="2589" priority="2945"/>
  </conditionalFormatting>
  <conditionalFormatting sqref="C55">
    <cfRule type="duplicateValues" dxfId="2585" priority="662"/>
    <cfRule type="duplicateValues" dxfId="2586" priority="663"/>
  </conditionalFormatting>
  <conditionalFormatting sqref="C56:C57 C47:C48 C60:C69">
    <cfRule type="duplicateValues" dxfId="2584" priority="2979"/>
  </conditionalFormatting>
  <conditionalFormatting sqref="C58:C59">
    <cfRule type="duplicateValues" dxfId="2583" priority="2948"/>
    <cfRule type="duplicateValues" dxfId="2582" priority="2949"/>
  </conditionalFormatting>
  <conditionalFormatting sqref="C70:C74">
    <cfRule type="duplicateValues" dxfId="2580" priority="2946"/>
    <cfRule type="duplicateValues" dxfId="2581" priority="2947"/>
  </conditionalFormatting>
  <conditionalFormatting sqref="C75:C88 C49:C52">
    <cfRule type="duplicateValues" dxfId="2579" priority="2980"/>
  </conditionalFormatting>
  <conditionalFormatting sqref="C89">
    <cfRule type="duplicateValues" dxfId="2578" priority="656"/>
    <cfRule type="duplicateValues" dxfId="2577" priority="657"/>
  </conditionalFormatting>
  <conditionalFormatting sqref="C101">
    <cfRule type="duplicateValues" dxfId="2576" priority="652"/>
    <cfRule type="duplicateValues" dxfId="2575" priority="653"/>
  </conditionalFormatting>
  <conditionalFormatting sqref="C103">
    <cfRule type="duplicateValues" dxfId="2573" priority="654"/>
    <cfRule type="duplicateValues" dxfId="2574" priority="655"/>
  </conditionalFormatting>
  <conditionalFormatting sqref="C107:C120">
    <cfRule type="duplicateValues" dxfId="2568" priority="2963"/>
    <cfRule type="duplicateValues" dxfId="2569" priority="2964"/>
    <cfRule type="duplicateValues" dxfId="2570" priority="2965"/>
    <cfRule type="duplicateValues" dxfId="2571" priority="2966"/>
    <cfRule type="duplicateValues" dxfId="2572" priority="2967"/>
  </conditionalFormatting>
  <conditionalFormatting sqref="C123">
    <cfRule type="duplicateValues" dxfId="2567" priority="2936"/>
    <cfRule type="duplicateValues" dxfId="2566" priority="2937"/>
  </conditionalFormatting>
  <conditionalFormatting sqref="C125:C126 C121 C90:C100 C104:C106 C102">
    <cfRule type="duplicateValues" dxfId="2565" priority="2962"/>
  </conditionalFormatting>
  <conditionalFormatting sqref="C164">
    <cfRule type="duplicateValues" dxfId="2563" priority="646"/>
    <cfRule type="duplicateValues" dxfId="2564" priority="647"/>
  </conditionalFormatting>
  <conditionalFormatting sqref="C165">
    <cfRule type="duplicateValues" dxfId="2561" priority="650"/>
    <cfRule type="duplicateValues" dxfId="2562" priority="651"/>
  </conditionalFormatting>
  <conditionalFormatting sqref="C166">
    <cfRule type="duplicateValues" dxfId="2559" priority="648"/>
    <cfRule type="duplicateValues" dxfId="2560" priority="649"/>
  </conditionalFormatting>
  <conditionalFormatting sqref="C178">
    <cfRule type="duplicateValues" dxfId="2558" priority="2938"/>
    <cfRule type="duplicateValues" dxfId="2557" priority="2939"/>
  </conditionalFormatting>
  <conditionalFormatting sqref="C179 C31:C35 C37:C45">
    <cfRule type="duplicateValues" dxfId="2556" priority="2961"/>
  </conditionalFormatting>
  <conditionalFormatting sqref="C180">
    <cfRule type="duplicateValues" dxfId="2555" priority="2951"/>
    <cfRule type="duplicateValues" dxfId="2554" priority="2952"/>
    <cfRule type="duplicateValues" dxfId="2553" priority="2953"/>
    <cfRule type="duplicateValues" dxfId="2552" priority="2954"/>
    <cfRule type="duplicateValues" dxfId="2551" priority="2955"/>
  </conditionalFormatting>
  <conditionalFormatting sqref="C183 C181 C17:C19 C27:C29 C21:C25">
    <cfRule type="duplicateValues" dxfId="2550" priority="2981"/>
  </conditionalFormatting>
  <conditionalFormatting sqref="C184">
    <cfRule type="duplicateValues" dxfId="2548" priority="2958"/>
    <cfRule type="duplicateValues" dxfId="2549" priority="2959"/>
  </conditionalFormatting>
  <conditionalFormatting sqref="C200">
    <cfRule type="duplicateValues" dxfId="2547" priority="644"/>
    <cfRule type="duplicateValues" dxfId="2546" priority="645"/>
  </conditionalFormatting>
  <conditionalFormatting sqref="C201">
    <cfRule type="duplicateValues" dxfId="2539" priority="1106"/>
    <cfRule type="duplicateValues" dxfId="2538" priority="1107"/>
    <cfRule type="duplicateValues" dxfId="2537" priority="1108"/>
    <cfRule type="duplicateValues" dxfId="2536" priority="1109"/>
    <cfRule type="duplicateValues" dxfId="2535" priority="1110"/>
    <cfRule type="duplicateValues" dxfId="2540" priority="1111"/>
    <cfRule type="duplicateValues" dxfId="2545" priority="1112"/>
    <cfRule type="duplicateValues" dxfId="2544" priority="1113"/>
    <cfRule type="duplicateValues" dxfId="2542" priority="1114"/>
    <cfRule type="duplicateValues" dxfId="2541" priority="1115"/>
    <cfRule type="duplicateValues" dxfId="2543" priority="1116"/>
  </conditionalFormatting>
  <conditionalFormatting sqref="C225">
    <cfRule type="duplicateValues" dxfId="2533" priority="642"/>
    <cfRule type="duplicateValues" dxfId="2534" priority="643"/>
  </conditionalFormatting>
  <conditionalFormatting sqref="C226">
    <cfRule type="duplicateValues" dxfId="2532" priority="2914"/>
  </conditionalFormatting>
  <conditionalFormatting sqref="C226:C228">
    <cfRule type="duplicateValues" dxfId="2526" priority="2915"/>
    <cfRule type="duplicateValues" dxfId="2525" priority="2917"/>
    <cfRule type="duplicateValues" dxfId="2521" priority="2918"/>
    <cfRule type="duplicateValues" dxfId="2524" priority="2919"/>
    <cfRule type="duplicateValues" dxfId="2523" priority="2920"/>
    <cfRule type="duplicateValues" dxfId="2522" priority="2921"/>
    <cfRule type="duplicateValues" dxfId="2531" priority="2922"/>
    <cfRule type="duplicateValues" dxfId="2530" priority="2923"/>
    <cfRule type="duplicateValues" dxfId="2529" priority="2924"/>
    <cfRule type="duplicateValues" dxfId="2527" priority="2925"/>
    <cfRule type="duplicateValues" dxfId="2528" priority="2926"/>
  </conditionalFormatting>
  <conditionalFormatting sqref="C227">
    <cfRule type="duplicateValues" dxfId="2520" priority="2913"/>
  </conditionalFormatting>
  <conditionalFormatting sqref="C228">
    <cfRule type="duplicateValues" dxfId="2519" priority="2912"/>
  </conditionalFormatting>
  <conditionalFormatting sqref="C229">
    <cfRule type="duplicateValues" dxfId="2518" priority="2899"/>
  </conditionalFormatting>
  <conditionalFormatting sqref="C229:C230">
    <cfRule type="duplicateValues" dxfId="2510" priority="2900"/>
    <cfRule type="duplicateValues" dxfId="2511" priority="2902"/>
    <cfRule type="duplicateValues" dxfId="2512" priority="2903"/>
    <cfRule type="duplicateValues" dxfId="2513" priority="2904"/>
    <cfRule type="duplicateValues" dxfId="2514" priority="2905"/>
    <cfRule type="duplicateValues" dxfId="2515" priority="2906"/>
    <cfRule type="duplicateValues" dxfId="2516" priority="2907"/>
    <cfRule type="duplicateValues" dxfId="2509" priority="2908"/>
    <cfRule type="duplicateValues" dxfId="2517" priority="2909"/>
    <cfRule type="duplicateValues" dxfId="2507" priority="2910"/>
    <cfRule type="duplicateValues" dxfId="2508" priority="2911"/>
  </conditionalFormatting>
  <conditionalFormatting sqref="C230">
    <cfRule type="duplicateValues" dxfId="2506" priority="2898"/>
  </conditionalFormatting>
  <conditionalFormatting sqref="C231:C232">
    <cfRule type="duplicateValues" dxfId="2498" priority="2888"/>
    <cfRule type="duplicateValues" dxfId="2499" priority="2889"/>
    <cfRule type="duplicateValues" dxfId="2500" priority="2890"/>
    <cfRule type="duplicateValues" dxfId="2501" priority="2891"/>
    <cfRule type="duplicateValues" dxfId="2497" priority="2892"/>
    <cfRule type="duplicateValues" dxfId="2502" priority="2893"/>
    <cfRule type="duplicateValues" dxfId="2503" priority="2894"/>
    <cfRule type="duplicateValues" dxfId="2504" priority="2895"/>
    <cfRule type="duplicateValues" dxfId="2505" priority="2896"/>
    <cfRule type="duplicateValues" dxfId="2496" priority="2897"/>
  </conditionalFormatting>
  <conditionalFormatting sqref="C233:C235">
    <cfRule type="duplicateValues" dxfId="2489" priority="2877"/>
    <cfRule type="duplicateValues" dxfId="2490" priority="2878"/>
    <cfRule type="duplicateValues" dxfId="2488" priority="2879"/>
    <cfRule type="duplicateValues" dxfId="2487" priority="2880"/>
    <cfRule type="duplicateValues" dxfId="2486" priority="2881"/>
    <cfRule type="duplicateValues" dxfId="2491" priority="2882"/>
    <cfRule type="duplicateValues" dxfId="2492" priority="2883"/>
    <cfRule type="duplicateValues" dxfId="2493" priority="2884"/>
    <cfRule type="duplicateValues" dxfId="2494" priority="2885"/>
    <cfRule type="duplicateValues" dxfId="2495" priority="2886"/>
  </conditionalFormatting>
  <conditionalFormatting sqref="C235">
    <cfRule type="duplicateValues" dxfId="2485" priority="2874"/>
    <cfRule type="duplicateValues" dxfId="2484" priority="2875"/>
  </conditionalFormatting>
  <conditionalFormatting sqref="C236">
    <cfRule type="duplicateValues" dxfId="2483" priority="2861"/>
    <cfRule type="duplicateValues" dxfId="2480" priority="2862"/>
    <cfRule type="duplicateValues" dxfId="2476" priority="2864"/>
    <cfRule type="duplicateValues" dxfId="2479" priority="2865"/>
    <cfRule type="duplicateValues" dxfId="2478" priority="2866"/>
    <cfRule type="duplicateValues" dxfId="2474" priority="2867"/>
    <cfRule type="duplicateValues" dxfId="2473" priority="2868"/>
    <cfRule type="duplicateValues" dxfId="2475" priority="2869"/>
    <cfRule type="duplicateValues" dxfId="2477" priority="2870"/>
    <cfRule type="duplicateValues" dxfId="2482" priority="2871"/>
    <cfRule type="duplicateValues" dxfId="2481" priority="2872"/>
    <cfRule type="duplicateValues" dxfId="2472" priority="2873"/>
  </conditionalFormatting>
  <conditionalFormatting sqref="C237">
    <cfRule type="duplicateValues" dxfId="2464" priority="2851"/>
    <cfRule type="duplicateValues" dxfId="2469" priority="2852"/>
    <cfRule type="duplicateValues" dxfId="2468" priority="2853"/>
    <cfRule type="duplicateValues" dxfId="2471" priority="2854"/>
    <cfRule type="duplicateValues" dxfId="2465" priority="2855"/>
    <cfRule type="duplicateValues" dxfId="2466" priority="2856"/>
    <cfRule type="duplicateValues" dxfId="2463" priority="2857"/>
    <cfRule type="duplicateValues" dxfId="2470" priority="2858"/>
    <cfRule type="duplicateValues" dxfId="2462" priority="2859"/>
    <cfRule type="duplicateValues" dxfId="2467" priority="2860"/>
  </conditionalFormatting>
  <conditionalFormatting sqref="C238">
    <cfRule type="duplicateValues" dxfId="2454" priority="2840"/>
    <cfRule type="duplicateValues" dxfId="2452" priority="2841"/>
    <cfRule type="duplicateValues" dxfId="2461" priority="2842"/>
    <cfRule type="duplicateValues" dxfId="2460" priority="2843"/>
    <cfRule type="duplicateValues" dxfId="2459" priority="2844"/>
    <cfRule type="duplicateValues" dxfId="2453" priority="2845"/>
    <cfRule type="duplicateValues" dxfId="2458" priority="2846"/>
    <cfRule type="duplicateValues" dxfId="2457" priority="2847"/>
    <cfRule type="duplicateValues" dxfId="2456" priority="2848"/>
    <cfRule type="duplicateValues" dxfId="2455" priority="2849"/>
  </conditionalFormatting>
  <conditionalFormatting sqref="C239">
    <cfRule type="duplicateValues" dxfId="2448" priority="2827"/>
    <cfRule type="duplicateValues" dxfId="2445" priority="2828"/>
    <cfRule type="duplicateValues" dxfId="2446" priority="2829"/>
    <cfRule type="duplicateValues" dxfId="2447" priority="2830"/>
    <cfRule type="duplicateValues" dxfId="2444" priority="2831"/>
    <cfRule type="duplicateValues" dxfId="2450" priority="2832"/>
    <cfRule type="duplicateValues" dxfId="2449" priority="2833"/>
    <cfRule type="duplicateValues" dxfId="2443" priority="2834"/>
    <cfRule type="duplicateValues" dxfId="2442" priority="2835"/>
    <cfRule type="duplicateValues" dxfId="2441" priority="2836"/>
    <cfRule type="duplicateValues" dxfId="2440" priority="2837"/>
    <cfRule type="duplicateValues" dxfId="2451" priority="2838"/>
  </conditionalFormatting>
  <conditionalFormatting sqref="C240">
    <cfRule type="duplicateValues" dxfId="2439" priority="2814"/>
    <cfRule type="duplicateValues" dxfId="2429" priority="2815"/>
    <cfRule type="duplicateValues" dxfId="2428" priority="2816"/>
    <cfRule type="duplicateValues" dxfId="2438" priority="2817"/>
    <cfRule type="duplicateValues" dxfId="2437" priority="2818"/>
    <cfRule type="duplicateValues" dxfId="2435" priority="2819"/>
    <cfRule type="duplicateValues" dxfId="2434" priority="2820"/>
    <cfRule type="duplicateValues" dxfId="2430" priority="2821"/>
    <cfRule type="duplicateValues" dxfId="2431" priority="2822"/>
    <cfRule type="duplicateValues" dxfId="2432" priority="2823"/>
    <cfRule type="duplicateValues" dxfId="2433" priority="2824"/>
    <cfRule type="duplicateValues" dxfId="2436" priority="2825"/>
  </conditionalFormatting>
  <conditionalFormatting sqref="C241">
    <cfRule type="duplicateValues" dxfId="2418" priority="2804"/>
    <cfRule type="duplicateValues" dxfId="2420" priority="2805"/>
    <cfRule type="duplicateValues" dxfId="2422" priority="2806"/>
    <cfRule type="duplicateValues" dxfId="2421" priority="2807"/>
    <cfRule type="duplicateValues" dxfId="2419" priority="2808"/>
    <cfRule type="duplicateValues" dxfId="2427" priority="2809"/>
    <cfRule type="duplicateValues" dxfId="2426" priority="2810"/>
    <cfRule type="duplicateValues" dxfId="2425" priority="2811"/>
    <cfRule type="duplicateValues" dxfId="2423" priority="2812"/>
    <cfRule type="duplicateValues" dxfId="2424" priority="2813"/>
  </conditionalFormatting>
  <conditionalFormatting sqref="C242">
    <cfRule type="duplicateValues" dxfId="2414" priority="2793"/>
    <cfRule type="duplicateValues" dxfId="2408" priority="2794"/>
    <cfRule type="duplicateValues" dxfId="2415" priority="2795"/>
    <cfRule type="duplicateValues" dxfId="2413" priority="2796"/>
    <cfRule type="duplicateValues" dxfId="2412" priority="2797"/>
    <cfRule type="duplicateValues" dxfId="2411" priority="2798"/>
    <cfRule type="duplicateValues" dxfId="2410" priority="2799"/>
    <cfRule type="duplicateValues" dxfId="2409" priority="2800"/>
    <cfRule type="duplicateValues" dxfId="2417" priority="2801"/>
    <cfRule type="duplicateValues" dxfId="2416" priority="2802"/>
  </conditionalFormatting>
  <conditionalFormatting sqref="C243">
    <cfRule type="duplicateValues" dxfId="2401" priority="2782"/>
    <cfRule type="duplicateValues" dxfId="2400" priority="2783"/>
    <cfRule type="duplicateValues" dxfId="2399" priority="2784"/>
    <cfRule type="duplicateValues" dxfId="2398" priority="2785"/>
    <cfRule type="duplicateValues" dxfId="2405" priority="2786"/>
    <cfRule type="duplicateValues" dxfId="2406" priority="2787"/>
    <cfRule type="duplicateValues" dxfId="2407" priority="2788"/>
    <cfRule type="duplicateValues" dxfId="2402" priority="2789"/>
    <cfRule type="duplicateValues" dxfId="2403" priority="2790"/>
    <cfRule type="duplicateValues" dxfId="2404" priority="2791"/>
  </conditionalFormatting>
  <conditionalFormatting sqref="C244:C245">
    <cfRule type="duplicateValues" dxfId="2397" priority="640"/>
    <cfRule type="duplicateValues" dxfId="2396" priority="641"/>
  </conditionalFormatting>
  <conditionalFormatting sqref="C246">
    <cfRule type="duplicateValues" dxfId="2393" priority="2771"/>
    <cfRule type="duplicateValues" dxfId="2394" priority="2772"/>
    <cfRule type="duplicateValues" dxfId="2392" priority="2773"/>
    <cfRule type="duplicateValues" dxfId="2391" priority="2774"/>
    <cfRule type="duplicateValues" dxfId="2390" priority="2775"/>
    <cfRule type="duplicateValues" dxfId="2395" priority="2776"/>
    <cfRule type="duplicateValues" dxfId="2389" priority="2777"/>
    <cfRule type="duplicateValues" dxfId="2388" priority="2778"/>
  </conditionalFormatting>
  <conditionalFormatting sqref="C247">
    <cfRule type="duplicateValues" dxfId="2387" priority="2762"/>
    <cfRule type="duplicateValues" dxfId="2386" priority="2763"/>
  </conditionalFormatting>
  <conditionalFormatting sqref="C247:C249">
    <cfRule type="duplicateValues" dxfId="2385" priority="2764"/>
    <cfRule type="duplicateValues" dxfId="2384" priority="2765"/>
    <cfRule type="duplicateValues" dxfId="2383" priority="2766"/>
    <cfRule type="duplicateValues" dxfId="2382" priority="2767"/>
    <cfRule type="duplicateValues" dxfId="2381" priority="2768"/>
    <cfRule type="duplicateValues" dxfId="2380" priority="2769"/>
  </conditionalFormatting>
  <conditionalFormatting sqref="C248">
    <cfRule type="duplicateValues" dxfId="2379" priority="2759"/>
    <cfRule type="duplicateValues" dxfId="2378" priority="2760"/>
  </conditionalFormatting>
  <conditionalFormatting sqref="C249">
    <cfRule type="duplicateValues" dxfId="2376" priority="2756"/>
    <cfRule type="duplicateValues" dxfId="2377" priority="2757"/>
  </conditionalFormatting>
  <conditionalFormatting sqref="C250">
    <cfRule type="duplicateValues" dxfId="2365" priority="2744"/>
    <cfRule type="duplicateValues" dxfId="2366" priority="2745"/>
    <cfRule type="duplicateValues" dxfId="2367" priority="2746"/>
    <cfRule type="duplicateValues" dxfId="2368" priority="2747"/>
    <cfRule type="duplicateValues" dxfId="2369" priority="2748"/>
    <cfRule type="duplicateValues" dxfId="2370" priority="2749"/>
    <cfRule type="duplicateValues" dxfId="2371" priority="2750"/>
    <cfRule type="duplicateValues" dxfId="2372" priority="2751"/>
    <cfRule type="duplicateValues" dxfId="2373" priority="2752"/>
    <cfRule type="duplicateValues" dxfId="2374" priority="2753"/>
    <cfRule type="duplicateValues" dxfId="2375" priority="2754"/>
  </conditionalFormatting>
  <conditionalFormatting sqref="C251">
    <cfRule type="duplicateValues" dxfId="2363" priority="628"/>
    <cfRule type="duplicateValues" dxfId="2362" priority="629"/>
    <cfRule type="duplicateValues" dxfId="2364" priority="630"/>
  </conditionalFormatting>
  <conditionalFormatting sqref="C252">
    <cfRule type="duplicateValues" dxfId="2361" priority="2742"/>
  </conditionalFormatting>
  <conditionalFormatting sqref="C253">
    <cfRule type="duplicateValues" dxfId="2357" priority="2725"/>
    <cfRule type="duplicateValues" dxfId="2360" priority="2726"/>
    <cfRule type="duplicateValues" dxfId="2359" priority="2727"/>
    <cfRule type="duplicateValues" dxfId="2358" priority="2728"/>
  </conditionalFormatting>
  <conditionalFormatting sqref="C254">
    <cfRule type="duplicateValues" dxfId="2353" priority="2928"/>
    <cfRule type="duplicateValues" dxfId="2354" priority="2929"/>
    <cfRule type="duplicateValues" dxfId="2356" priority="2930"/>
    <cfRule type="duplicateValues" dxfId="2349" priority="2931"/>
    <cfRule type="duplicateValues" dxfId="2351" priority="2932"/>
    <cfRule type="duplicateValues" dxfId="2350" priority="2933"/>
    <cfRule type="duplicateValues" dxfId="2352" priority="2934"/>
    <cfRule type="duplicateValues" dxfId="2355" priority="2935"/>
  </conditionalFormatting>
  <conditionalFormatting sqref="C255">
    <cfRule type="duplicateValues" dxfId="2345" priority="2730"/>
    <cfRule type="duplicateValues" dxfId="2338" priority="2731"/>
    <cfRule type="duplicateValues" dxfId="2344" priority="2732"/>
    <cfRule type="duplicateValues" dxfId="2343" priority="2733"/>
    <cfRule type="duplicateValues" dxfId="2340" priority="2734"/>
    <cfRule type="duplicateValues" dxfId="2339" priority="2735"/>
    <cfRule type="duplicateValues" dxfId="2337" priority="2736"/>
    <cfRule type="duplicateValues" dxfId="2342" priority="2737"/>
    <cfRule type="duplicateValues" dxfId="2341" priority="2738"/>
    <cfRule type="duplicateValues" dxfId="2346" priority="2739"/>
    <cfRule type="duplicateValues" dxfId="2347" priority="2740"/>
    <cfRule type="duplicateValues" dxfId="2348" priority="2741"/>
  </conditionalFormatting>
  <conditionalFormatting sqref="C256">
    <cfRule type="duplicateValues" dxfId="2330" priority="2703"/>
    <cfRule type="duplicateValues" dxfId="2331" priority="2704"/>
    <cfRule type="duplicateValues" dxfId="2332" priority="2705"/>
    <cfRule type="duplicateValues" dxfId="2333" priority="2706"/>
    <cfRule type="duplicateValues" dxfId="2329" priority="2707"/>
    <cfRule type="duplicateValues" dxfId="2334" priority="2708"/>
    <cfRule type="duplicateValues" dxfId="2335" priority="2709"/>
    <cfRule type="duplicateValues" dxfId="2336" priority="2710"/>
  </conditionalFormatting>
  <conditionalFormatting sqref="C257">
    <cfRule type="duplicateValues" dxfId="2325" priority="2692"/>
    <cfRule type="duplicateValues" dxfId="2326" priority="2693"/>
    <cfRule type="duplicateValues" dxfId="2327" priority="2694"/>
    <cfRule type="duplicateValues" dxfId="2328" priority="2695"/>
    <cfRule type="duplicateValues" dxfId="2319" priority="2696"/>
    <cfRule type="duplicateValues" dxfId="2320" priority="2697"/>
    <cfRule type="duplicateValues" dxfId="2321" priority="2698"/>
    <cfRule type="duplicateValues" dxfId="2322" priority="2699"/>
    <cfRule type="duplicateValues" dxfId="2323" priority="2700"/>
    <cfRule type="duplicateValues" dxfId="2324" priority="2701"/>
  </conditionalFormatting>
  <conditionalFormatting sqref="C258">
    <cfRule type="duplicateValues" dxfId="2318" priority="2681"/>
    <cfRule type="duplicateValues" dxfId="2315" priority="2682"/>
    <cfRule type="duplicateValues" dxfId="2309" priority="2683"/>
    <cfRule type="duplicateValues" dxfId="2310" priority="2684"/>
    <cfRule type="duplicateValues" dxfId="2311" priority="2685"/>
    <cfRule type="duplicateValues" dxfId="2312" priority="2686"/>
    <cfRule type="duplicateValues" dxfId="2313" priority="2687"/>
    <cfRule type="duplicateValues" dxfId="2314" priority="2688"/>
    <cfRule type="duplicateValues" dxfId="2316" priority="2689"/>
    <cfRule type="duplicateValues" dxfId="2317" priority="2690"/>
  </conditionalFormatting>
  <conditionalFormatting sqref="C260">
    <cfRule type="duplicateValues" dxfId="2305" priority="2721"/>
    <cfRule type="duplicateValues" dxfId="2306" priority="2722"/>
    <cfRule type="duplicateValues" dxfId="2307" priority="2723"/>
    <cfRule type="duplicateValues" dxfId="2308" priority="2724"/>
  </conditionalFormatting>
  <conditionalFormatting sqref="C264:C265">
    <cfRule type="duplicateValues" dxfId="2304" priority="638"/>
    <cfRule type="duplicateValues" dxfId="2303" priority="639"/>
  </conditionalFormatting>
  <conditionalFormatting sqref="C269">
    <cfRule type="duplicateValues" dxfId="2291" priority="2316"/>
    <cfRule type="duplicateValues" dxfId="2302" priority="2319"/>
    <cfRule type="duplicateValues" dxfId="2297" priority="2320"/>
    <cfRule type="duplicateValues" dxfId="2292" priority="2321"/>
    <cfRule type="duplicateValues" dxfId="2301" priority="2322"/>
    <cfRule type="duplicateValues" dxfId="2300" priority="2323"/>
    <cfRule type="duplicateValues" dxfId="2299" priority="2324"/>
    <cfRule type="duplicateValues" dxfId="2295" priority="2325"/>
    <cfRule type="duplicateValues" dxfId="2293" priority="2326"/>
    <cfRule type="duplicateValues" dxfId="2294" priority="2327"/>
    <cfRule type="duplicateValues" dxfId="2298" priority="2328"/>
    <cfRule type="duplicateValues" dxfId="2296" priority="2329"/>
  </conditionalFormatting>
  <conditionalFormatting sqref="C270">
    <cfRule type="duplicateValues" dxfId="2290" priority="2305"/>
    <cfRule type="duplicateValues" dxfId="2289" priority="2308"/>
    <cfRule type="duplicateValues" dxfId="2287" priority="2309"/>
    <cfRule type="duplicateValues" dxfId="2286" priority="2310"/>
    <cfRule type="duplicateValues" dxfId="2284" priority="2311"/>
    <cfRule type="duplicateValues" dxfId="2283" priority="2312"/>
    <cfRule type="duplicateValues" dxfId="2282" priority="2313"/>
    <cfRule type="duplicateValues" dxfId="2285" priority="2314"/>
    <cfRule type="duplicateValues" dxfId="2288" priority="2315"/>
  </conditionalFormatting>
  <conditionalFormatting sqref="C271">
    <cfRule type="duplicateValues" dxfId="2279" priority="2294"/>
    <cfRule type="duplicateValues" dxfId="2280" priority="2297"/>
    <cfRule type="duplicateValues" dxfId="2277" priority="2298"/>
    <cfRule type="duplicateValues" dxfId="2278" priority="2299"/>
    <cfRule type="duplicateValues" dxfId="2281" priority="2300"/>
    <cfRule type="duplicateValues" dxfId="2273" priority="2301"/>
    <cfRule type="duplicateValues" dxfId="2274" priority="2302"/>
    <cfRule type="duplicateValues" dxfId="2275" priority="2303"/>
    <cfRule type="duplicateValues" dxfId="2276" priority="2304"/>
  </conditionalFormatting>
  <conditionalFormatting sqref="C272">
    <cfRule type="duplicateValues" dxfId="2266" priority="2284"/>
    <cfRule type="duplicateValues" dxfId="2265" priority="2287"/>
    <cfRule type="duplicateValues" dxfId="2272" priority="2288"/>
    <cfRule type="duplicateValues" dxfId="2271" priority="2289"/>
    <cfRule type="duplicateValues" dxfId="2270" priority="2290"/>
    <cfRule type="duplicateValues" dxfId="2269" priority="2291"/>
    <cfRule type="duplicateValues" dxfId="2268" priority="2292"/>
    <cfRule type="duplicateValues" dxfId="2267" priority="2293"/>
  </conditionalFormatting>
  <conditionalFormatting sqref="C273">
    <cfRule type="duplicateValues" dxfId="2259" priority="2273"/>
    <cfRule type="duplicateValues" dxfId="2264" priority="2276"/>
    <cfRule type="duplicateValues" dxfId="2263" priority="2277"/>
    <cfRule type="duplicateValues" dxfId="2262" priority="2278"/>
    <cfRule type="duplicateValues" dxfId="2257" priority="2279"/>
    <cfRule type="duplicateValues" dxfId="2261" priority="2280"/>
    <cfRule type="duplicateValues" dxfId="2260" priority="2281"/>
    <cfRule type="duplicateValues" dxfId="2256" priority="2282"/>
    <cfRule type="duplicateValues" dxfId="2258" priority="2283"/>
  </conditionalFormatting>
  <conditionalFormatting sqref="C274">
    <cfRule type="duplicateValues" dxfId="2251" priority="2262"/>
    <cfRule type="duplicateValues" dxfId="2248" priority="2265"/>
    <cfRule type="duplicateValues" dxfId="2249" priority="2266"/>
    <cfRule type="duplicateValues" dxfId="2255" priority="2267"/>
    <cfRule type="duplicateValues" dxfId="2254" priority="2268"/>
    <cfRule type="duplicateValues" dxfId="2250" priority="2269"/>
    <cfRule type="duplicateValues" dxfId="2253" priority="2270"/>
    <cfRule type="duplicateValues" dxfId="2252" priority="2271"/>
    <cfRule type="duplicateValues" dxfId="2247" priority="2272"/>
  </conditionalFormatting>
  <conditionalFormatting sqref="C275">
    <cfRule type="duplicateValues" dxfId="2240" priority="2247"/>
    <cfRule type="duplicateValues" dxfId="2239" priority="2250"/>
    <cfRule type="duplicateValues" dxfId="2238" priority="2251"/>
    <cfRule type="duplicateValues" dxfId="2237" priority="2252"/>
    <cfRule type="duplicateValues" dxfId="2236" priority="2253"/>
    <cfRule type="duplicateValues" dxfId="2234" priority="2254"/>
    <cfRule type="duplicateValues" dxfId="2246" priority="2255"/>
    <cfRule type="duplicateValues" dxfId="2235" priority="2256"/>
    <cfRule type="duplicateValues" dxfId="2245" priority="2257"/>
    <cfRule type="duplicateValues" dxfId="2244" priority="2258"/>
    <cfRule type="duplicateValues" dxfId="2243" priority="2259"/>
    <cfRule type="duplicateValues" dxfId="2242" priority="2260"/>
    <cfRule type="duplicateValues" dxfId="2241" priority="2261"/>
  </conditionalFormatting>
  <conditionalFormatting sqref="C276">
    <cfRule type="duplicateValues" dxfId="2233" priority="2236"/>
    <cfRule type="duplicateValues" dxfId="2232" priority="2239"/>
    <cfRule type="duplicateValues" dxfId="2231" priority="2240"/>
    <cfRule type="duplicateValues" dxfId="2230" priority="2241"/>
    <cfRule type="duplicateValues" dxfId="2225" priority="2242"/>
    <cfRule type="duplicateValues" dxfId="2229" priority="2243"/>
    <cfRule type="duplicateValues" dxfId="2228" priority="2244"/>
    <cfRule type="duplicateValues" dxfId="2226" priority="2245"/>
    <cfRule type="duplicateValues" dxfId="2227" priority="2246"/>
  </conditionalFormatting>
  <conditionalFormatting sqref="C277">
    <cfRule type="duplicateValues" dxfId="2223" priority="631"/>
    <cfRule type="duplicateValues" dxfId="2222" priority="632"/>
    <cfRule type="duplicateValues" dxfId="2224" priority="633"/>
  </conditionalFormatting>
  <conditionalFormatting sqref="C278">
    <cfRule type="duplicateValues" dxfId="2219" priority="2223"/>
    <cfRule type="duplicateValues" dxfId="2218" priority="2226"/>
    <cfRule type="duplicateValues" dxfId="2217" priority="2227"/>
    <cfRule type="duplicateValues" dxfId="2214" priority="2228"/>
    <cfRule type="duplicateValues" dxfId="2216" priority="2229"/>
    <cfRule type="duplicateValues" dxfId="2213" priority="2230"/>
    <cfRule type="duplicateValues" dxfId="2221" priority="2231"/>
    <cfRule type="duplicateValues" dxfId="2220" priority="2232"/>
    <cfRule type="duplicateValues" dxfId="2215" priority="2233"/>
  </conditionalFormatting>
  <conditionalFormatting sqref="C279">
    <cfRule type="duplicateValues" dxfId="2210" priority="2212"/>
    <cfRule type="duplicateValues" dxfId="2207" priority="2215"/>
    <cfRule type="duplicateValues" dxfId="2209" priority="2216"/>
    <cfRule type="duplicateValues" dxfId="2208" priority="2217"/>
    <cfRule type="duplicateValues" dxfId="2206" priority="2218"/>
    <cfRule type="duplicateValues" dxfId="2212" priority="2219"/>
    <cfRule type="duplicateValues" dxfId="2204" priority="2220"/>
    <cfRule type="duplicateValues" dxfId="2205" priority="2221"/>
    <cfRule type="duplicateValues" dxfId="2211" priority="2222"/>
  </conditionalFormatting>
  <conditionalFormatting sqref="C280">
    <cfRule type="duplicateValues" dxfId="2198" priority="2197"/>
    <cfRule type="duplicateValues" dxfId="2201" priority="2200"/>
    <cfRule type="duplicateValues" dxfId="2202" priority="2201"/>
    <cfRule type="duplicateValues" dxfId="2203" priority="2202"/>
    <cfRule type="duplicateValues" dxfId="2191" priority="2203"/>
    <cfRule type="duplicateValues" dxfId="2192" priority="2204"/>
    <cfRule type="duplicateValues" dxfId="2193" priority="2205"/>
    <cfRule type="duplicateValues" dxfId="2194" priority="2206"/>
    <cfRule type="duplicateValues" dxfId="2195" priority="2207"/>
    <cfRule type="duplicateValues" dxfId="2196" priority="2208"/>
    <cfRule type="duplicateValues" dxfId="2197" priority="2209"/>
    <cfRule type="duplicateValues" dxfId="2199" priority="2210"/>
    <cfRule type="duplicateValues" dxfId="2200" priority="2211"/>
  </conditionalFormatting>
  <conditionalFormatting sqref="C281">
    <cfRule type="duplicateValues" dxfId="2189" priority="2186"/>
    <cfRule type="duplicateValues" dxfId="2182" priority="2188"/>
    <cfRule type="duplicateValues" dxfId="2181" priority="2189"/>
    <cfRule type="duplicateValues" dxfId="2183" priority="2190"/>
    <cfRule type="duplicateValues" dxfId="2185" priority="2191"/>
    <cfRule type="duplicateValues" dxfId="2188" priority="2192"/>
    <cfRule type="duplicateValues" dxfId="2190" priority="2193"/>
    <cfRule type="duplicateValues" dxfId="2187" priority="2194"/>
    <cfRule type="duplicateValues" dxfId="2184" priority="2195"/>
    <cfRule type="duplicateValues" dxfId="2186" priority="2196"/>
  </conditionalFormatting>
  <conditionalFormatting sqref="C282">
    <cfRule type="duplicateValues" dxfId="2171" priority="2173"/>
    <cfRule type="duplicateValues" dxfId="2177" priority="2176"/>
    <cfRule type="duplicateValues" dxfId="2172" priority="2177"/>
    <cfRule type="duplicateValues" dxfId="2179" priority="2178"/>
    <cfRule type="duplicateValues" dxfId="2178" priority="2179"/>
    <cfRule type="duplicateValues" dxfId="2175" priority="2180"/>
    <cfRule type="duplicateValues" dxfId="2173" priority="2181"/>
    <cfRule type="duplicateValues" dxfId="2180" priority="2182"/>
    <cfRule type="duplicateValues" dxfId="2170" priority="2183"/>
    <cfRule type="duplicateValues" dxfId="2176" priority="2184"/>
    <cfRule type="duplicateValues" dxfId="2174" priority="2185"/>
  </conditionalFormatting>
  <conditionalFormatting sqref="C283">
    <cfRule type="duplicateValues" dxfId="2169" priority="2165"/>
    <cfRule type="duplicateValues" dxfId="2168" priority="2168"/>
    <cfRule type="duplicateValues" dxfId="2164" priority="2169"/>
    <cfRule type="duplicateValues" dxfId="2165" priority="2170"/>
    <cfRule type="duplicateValues" dxfId="2167" priority="2171"/>
    <cfRule type="duplicateValues" dxfId="2166" priority="2172"/>
  </conditionalFormatting>
  <conditionalFormatting sqref="C284">
    <cfRule type="duplicateValues" dxfId="2157" priority="2155"/>
    <cfRule type="duplicateValues" dxfId="2160" priority="2158"/>
    <cfRule type="duplicateValues" dxfId="2161" priority="2159"/>
    <cfRule type="duplicateValues" dxfId="2156" priority="2160"/>
    <cfRule type="duplicateValues" dxfId="2163" priority="2161"/>
    <cfRule type="duplicateValues" dxfId="2158" priority="2162"/>
    <cfRule type="duplicateValues" dxfId="2162" priority="2163"/>
    <cfRule type="duplicateValues" dxfId="2159" priority="2164"/>
  </conditionalFormatting>
  <conditionalFormatting sqref="C285">
    <cfRule type="duplicateValues" dxfId="2155" priority="2144"/>
    <cfRule type="duplicateValues" dxfId="2147" priority="2147"/>
    <cfRule type="duplicateValues" dxfId="2148" priority="2148"/>
    <cfRule type="duplicateValues" dxfId="2149" priority="2149"/>
    <cfRule type="duplicateValues" dxfId="2150" priority="2150"/>
    <cfRule type="duplicateValues" dxfId="2152" priority="2151"/>
    <cfRule type="duplicateValues" dxfId="2153" priority="2152"/>
    <cfRule type="duplicateValues" dxfId="2154" priority="2153"/>
    <cfRule type="duplicateValues" dxfId="2151" priority="2154"/>
  </conditionalFormatting>
  <conditionalFormatting sqref="C286">
    <cfRule type="duplicateValues" dxfId="2135" priority="2130"/>
    <cfRule type="duplicateValues" dxfId="2136" priority="2132"/>
    <cfRule type="duplicateValues" dxfId="2134" priority="2133"/>
    <cfRule type="duplicateValues" dxfId="2138" priority="2134"/>
    <cfRule type="duplicateValues" dxfId="2139" priority="2135"/>
    <cfRule type="duplicateValues" dxfId="2140" priority="2136"/>
    <cfRule type="duplicateValues" dxfId="2141" priority="2137"/>
    <cfRule type="duplicateValues" dxfId="2142" priority="2138"/>
    <cfRule type="duplicateValues" dxfId="2137" priority="2139"/>
    <cfRule type="duplicateValues" dxfId="2143" priority="2140"/>
    <cfRule type="duplicateValues" dxfId="2144" priority="2141"/>
    <cfRule type="duplicateValues" dxfId="2145" priority="2142"/>
    <cfRule type="duplicateValues" dxfId="2146" priority="2143"/>
  </conditionalFormatting>
  <conditionalFormatting sqref="C287">
    <cfRule type="duplicateValues" dxfId="2131" priority="2119"/>
    <cfRule type="duplicateValues" dxfId="2127" priority="2122"/>
    <cfRule type="duplicateValues" dxfId="2128" priority="2123"/>
    <cfRule type="duplicateValues" dxfId="2129" priority="2124"/>
    <cfRule type="duplicateValues" dxfId="2130" priority="2125"/>
    <cfRule type="duplicateValues" dxfId="2132" priority="2126"/>
    <cfRule type="duplicateValues" dxfId="2133" priority="2127"/>
    <cfRule type="duplicateValues" dxfId="2125" priority="2128"/>
    <cfRule type="duplicateValues" dxfId="2126" priority="2129"/>
  </conditionalFormatting>
  <conditionalFormatting sqref="C288">
    <cfRule type="duplicateValues" dxfId="2116" priority="2105"/>
    <cfRule type="duplicateValues" dxfId="2113" priority="2108"/>
    <cfRule type="duplicateValues" dxfId="2115" priority="2109"/>
    <cfRule type="duplicateValues" dxfId="2114" priority="2110"/>
    <cfRule type="duplicateValues" dxfId="2117" priority="2111"/>
    <cfRule type="duplicateValues" dxfId="2124" priority="2112"/>
    <cfRule type="duplicateValues" dxfId="2123" priority="2113"/>
    <cfRule type="duplicateValues" dxfId="2122" priority="2114"/>
    <cfRule type="duplicateValues" dxfId="2121" priority="2115"/>
    <cfRule type="duplicateValues" dxfId="2120" priority="2116"/>
    <cfRule type="duplicateValues" dxfId="2119" priority="2117"/>
    <cfRule type="duplicateValues" dxfId="2118" priority="2118"/>
  </conditionalFormatting>
  <conditionalFormatting sqref="C289">
    <cfRule type="duplicateValues" dxfId="2110" priority="2094"/>
    <cfRule type="duplicateValues" dxfId="2111" priority="2097"/>
    <cfRule type="duplicateValues" dxfId="2112" priority="2098"/>
    <cfRule type="duplicateValues" dxfId="2104" priority="2099"/>
    <cfRule type="duplicateValues" dxfId="2105" priority="2100"/>
    <cfRule type="duplicateValues" dxfId="2106" priority="2101"/>
    <cfRule type="duplicateValues" dxfId="2107" priority="2102"/>
    <cfRule type="duplicateValues" dxfId="2108" priority="2103"/>
    <cfRule type="duplicateValues" dxfId="2109" priority="2104"/>
  </conditionalFormatting>
  <conditionalFormatting sqref="C290">
    <cfRule type="duplicateValues" dxfId="2101" priority="2083"/>
    <cfRule type="duplicateValues" dxfId="2102" priority="2084"/>
    <cfRule type="duplicateValues" dxfId="2103" priority="2085"/>
    <cfRule type="duplicateValues" dxfId="2099" priority="2086"/>
    <cfRule type="duplicateValues" dxfId="2100" priority="2087"/>
  </conditionalFormatting>
  <conditionalFormatting sqref="C290:C291">
    <cfRule type="duplicateValues" dxfId="2092" priority="2074"/>
    <cfRule type="duplicateValues" dxfId="2098" priority="2088"/>
    <cfRule type="duplicateValues" dxfId="2097" priority="2089"/>
    <cfRule type="duplicateValues" dxfId="2093" priority="2090"/>
    <cfRule type="duplicateValues" dxfId="2096" priority="2091"/>
    <cfRule type="duplicateValues" dxfId="2095" priority="2092"/>
    <cfRule type="duplicateValues" dxfId="2094" priority="2093"/>
  </conditionalFormatting>
  <conditionalFormatting sqref="C291">
    <cfRule type="duplicateValues" dxfId="2091" priority="2077"/>
    <cfRule type="duplicateValues" dxfId="2090" priority="2078"/>
    <cfRule type="duplicateValues" dxfId="2089" priority="2079"/>
    <cfRule type="duplicateValues" dxfId="2088" priority="2080"/>
    <cfRule type="duplicateValues" dxfId="2087" priority="2081"/>
  </conditionalFormatting>
  <conditionalFormatting sqref="C292">
    <cfRule type="duplicateValues" dxfId="2083" priority="2068"/>
    <cfRule type="duplicateValues" dxfId="2084" priority="2070"/>
    <cfRule type="duplicateValues" dxfId="2085" priority="2071"/>
    <cfRule type="duplicateValues" dxfId="2086" priority="2072"/>
    <cfRule type="duplicateValues" dxfId="2082" priority="2073"/>
  </conditionalFormatting>
  <conditionalFormatting sqref="C294">
    <cfRule type="duplicateValues" dxfId="2081" priority="2657"/>
    <cfRule type="duplicateValues" dxfId="2076" priority="2658"/>
    <cfRule type="duplicateValues" dxfId="2075" priority="2659"/>
    <cfRule type="duplicateValues" dxfId="2077" priority="2660"/>
    <cfRule type="duplicateValues" dxfId="2073" priority="2661"/>
    <cfRule type="duplicateValues" dxfId="2072" priority="2662"/>
    <cfRule type="duplicateValues" dxfId="2079" priority="2663"/>
    <cfRule type="duplicateValues" dxfId="2080" priority="2664"/>
    <cfRule type="duplicateValues" dxfId="2074" priority="2665"/>
    <cfRule type="duplicateValues" dxfId="2078" priority="2666"/>
  </conditionalFormatting>
  <conditionalFormatting sqref="C295">
    <cfRule type="duplicateValues" dxfId="2071" priority="2653"/>
  </conditionalFormatting>
  <conditionalFormatting sqref="C295:C297">
    <cfRule type="duplicateValues" dxfId="2067" priority="2649"/>
    <cfRule type="duplicateValues" dxfId="2069" priority="2650"/>
    <cfRule type="duplicateValues" dxfId="2068" priority="2654"/>
    <cfRule type="duplicateValues" dxfId="2070" priority="2655"/>
  </conditionalFormatting>
  <conditionalFormatting sqref="C296">
    <cfRule type="duplicateValues" dxfId="2066" priority="2652"/>
  </conditionalFormatting>
  <conditionalFormatting sqref="C297">
    <cfRule type="duplicateValues" dxfId="2065" priority="2651"/>
  </conditionalFormatting>
  <conditionalFormatting sqref="C298">
    <cfRule type="duplicateValues" dxfId="2063" priority="2646"/>
    <cfRule type="duplicateValues" dxfId="2064" priority="2647"/>
  </conditionalFormatting>
  <conditionalFormatting sqref="C299">
    <cfRule type="duplicateValues" dxfId="2061" priority="2635"/>
    <cfRule type="duplicateValues" dxfId="2053" priority="2636"/>
    <cfRule type="duplicateValues" dxfId="2062" priority="2637"/>
    <cfRule type="duplicateValues" dxfId="2054" priority="2638"/>
    <cfRule type="duplicateValues" dxfId="2055" priority="2639"/>
    <cfRule type="duplicateValues" dxfId="2056" priority="2640"/>
    <cfRule type="duplicateValues" dxfId="2057" priority="2641"/>
    <cfRule type="duplicateValues" dxfId="2058" priority="2642"/>
    <cfRule type="duplicateValues" dxfId="2059" priority="2643"/>
    <cfRule type="duplicateValues" dxfId="2060" priority="2644"/>
  </conditionalFormatting>
  <conditionalFormatting sqref="C300">
    <cfRule type="duplicateValues" dxfId="2052" priority="2624"/>
    <cfRule type="duplicateValues" dxfId="2051" priority="2625"/>
    <cfRule type="duplicateValues" dxfId="2050" priority="2626"/>
    <cfRule type="duplicateValues" dxfId="2049" priority="2627"/>
    <cfRule type="duplicateValues" dxfId="2048" priority="2628"/>
    <cfRule type="duplicateValues" dxfId="2047" priority="2629"/>
    <cfRule type="duplicateValues" dxfId="2046" priority="2630"/>
    <cfRule type="duplicateValues" dxfId="2045" priority="2631"/>
    <cfRule type="duplicateValues" dxfId="2044" priority="2632"/>
    <cfRule type="duplicateValues" dxfId="2043" priority="2633"/>
  </conditionalFormatting>
  <conditionalFormatting sqref="C301">
    <cfRule type="duplicateValues" dxfId="2041" priority="2610"/>
    <cfRule type="duplicateValues" dxfId="2040" priority="2611"/>
    <cfRule type="duplicateValues" dxfId="2039" priority="2613"/>
    <cfRule type="duplicateValues" dxfId="2038" priority="2614"/>
    <cfRule type="duplicateValues" dxfId="2031" priority="2615"/>
    <cfRule type="duplicateValues" dxfId="2037" priority="2616"/>
    <cfRule type="duplicateValues" dxfId="2036" priority="2617"/>
    <cfRule type="duplicateValues" dxfId="2035" priority="2618"/>
    <cfRule type="duplicateValues" dxfId="2034" priority="2619"/>
    <cfRule type="duplicateValues" dxfId="2033" priority="2620"/>
    <cfRule type="duplicateValues" dxfId="2032" priority="2621"/>
    <cfRule type="duplicateValues" dxfId="2042" priority="2622"/>
  </conditionalFormatting>
  <conditionalFormatting sqref="C302">
    <cfRule type="duplicateValues" dxfId="2024" priority="2597"/>
    <cfRule type="duplicateValues" dxfId="2025" priority="2598"/>
    <cfRule type="duplicateValues" dxfId="2027" priority="2600"/>
    <cfRule type="duplicateValues" dxfId="2028" priority="2601"/>
    <cfRule type="duplicateValues" dxfId="2029" priority="2602"/>
    <cfRule type="duplicateValues" dxfId="2030" priority="2603"/>
    <cfRule type="duplicateValues" dxfId="2022" priority="2604"/>
    <cfRule type="duplicateValues" dxfId="2023" priority="2605"/>
    <cfRule type="duplicateValues" dxfId="2026" priority="2606"/>
    <cfRule type="duplicateValues" dxfId="2019" priority="2607"/>
    <cfRule type="duplicateValues" dxfId="2020" priority="2608"/>
    <cfRule type="duplicateValues" dxfId="2021" priority="2609"/>
  </conditionalFormatting>
  <conditionalFormatting sqref="C303">
    <cfRule type="duplicateValues" dxfId="2018" priority="625"/>
    <cfRule type="duplicateValues" dxfId="2017" priority="626"/>
    <cfRule type="duplicateValues" dxfId="2016" priority="627"/>
  </conditionalFormatting>
  <conditionalFormatting sqref="C304">
    <cfRule type="duplicateValues" dxfId="2010" priority="2583"/>
    <cfRule type="duplicateValues" dxfId="2006" priority="2584"/>
    <cfRule type="duplicateValues" dxfId="2004" priority="2586"/>
    <cfRule type="duplicateValues" dxfId="2007" priority="2587"/>
    <cfRule type="duplicateValues" dxfId="2005" priority="2588"/>
    <cfRule type="duplicateValues" dxfId="2008" priority="2589"/>
    <cfRule type="duplicateValues" dxfId="2009" priority="2590"/>
    <cfRule type="duplicateValues" dxfId="2012" priority="2591"/>
    <cfRule type="duplicateValues" dxfId="2015" priority="2592"/>
    <cfRule type="duplicateValues" dxfId="2011" priority="2593"/>
    <cfRule type="duplicateValues" dxfId="2013" priority="2594"/>
    <cfRule type="duplicateValues" dxfId="2014" priority="2595"/>
  </conditionalFormatting>
  <conditionalFormatting sqref="C305">
    <cfRule type="duplicateValues" dxfId="2003" priority="2573"/>
    <cfRule type="duplicateValues" dxfId="1994" priority="2574"/>
    <cfRule type="duplicateValues" dxfId="1997" priority="2575"/>
    <cfRule type="duplicateValues" dxfId="1998" priority="2576"/>
    <cfRule type="duplicateValues" dxfId="1999" priority="2577"/>
    <cfRule type="duplicateValues" dxfId="2000" priority="2578"/>
    <cfRule type="duplicateValues" dxfId="1996" priority="2579"/>
    <cfRule type="duplicateValues" dxfId="2002" priority="2580"/>
    <cfRule type="duplicateValues" dxfId="2001" priority="2581"/>
    <cfRule type="duplicateValues" dxfId="1995" priority="2582"/>
  </conditionalFormatting>
  <conditionalFormatting sqref="C306">
    <cfRule type="duplicateValues" dxfId="1984" priority="2562"/>
    <cfRule type="duplicateValues" dxfId="1985" priority="2563"/>
    <cfRule type="duplicateValues" dxfId="1986" priority="2564"/>
    <cfRule type="duplicateValues" dxfId="1988" priority="2565"/>
    <cfRule type="duplicateValues" dxfId="1987" priority="2566"/>
    <cfRule type="duplicateValues" dxfId="1993" priority="2567"/>
    <cfRule type="duplicateValues" dxfId="1991" priority="2568"/>
    <cfRule type="duplicateValues" dxfId="1989" priority="2569"/>
    <cfRule type="duplicateValues" dxfId="1990" priority="2570"/>
    <cfRule type="duplicateValues" dxfId="1992" priority="2571"/>
  </conditionalFormatting>
  <conditionalFormatting sqref="C307">
    <cfRule type="duplicateValues" dxfId="1983" priority="2551"/>
    <cfRule type="duplicateValues" dxfId="1978" priority="2552"/>
    <cfRule type="duplicateValues" dxfId="1982" priority="2553"/>
    <cfRule type="duplicateValues" dxfId="1981" priority="2554"/>
    <cfRule type="duplicateValues" dxfId="1980" priority="2555"/>
    <cfRule type="duplicateValues" dxfId="1979" priority="2556"/>
    <cfRule type="duplicateValues" dxfId="1974" priority="2557"/>
    <cfRule type="duplicateValues" dxfId="1977" priority="2558"/>
    <cfRule type="duplicateValues" dxfId="1976" priority="2559"/>
    <cfRule type="duplicateValues" dxfId="1975" priority="2560"/>
  </conditionalFormatting>
  <conditionalFormatting sqref="C308">
    <cfRule type="duplicateValues" dxfId="1969" priority="2537"/>
    <cfRule type="duplicateValues" dxfId="1965" priority="2538"/>
    <cfRule type="duplicateValues" dxfId="1966" priority="2539"/>
    <cfRule type="duplicateValues" dxfId="1967" priority="2540"/>
    <cfRule type="duplicateValues" dxfId="1963" priority="2541"/>
    <cfRule type="duplicateValues" dxfId="1962" priority="2542"/>
    <cfRule type="duplicateValues" dxfId="1968" priority="2543"/>
    <cfRule type="duplicateValues" dxfId="1961" priority="2544"/>
    <cfRule type="duplicateValues" dxfId="1973" priority="2545"/>
    <cfRule type="duplicateValues" dxfId="1972" priority="2546"/>
    <cfRule type="duplicateValues" dxfId="1964" priority="2547"/>
    <cfRule type="duplicateValues" dxfId="1971" priority="2548"/>
    <cfRule type="duplicateValues" dxfId="1970" priority="2549"/>
  </conditionalFormatting>
  <conditionalFormatting sqref="C309">
    <cfRule type="duplicateValues" dxfId="1953" priority="2526"/>
    <cfRule type="duplicateValues" dxfId="1952" priority="2527"/>
    <cfRule type="duplicateValues" dxfId="1951" priority="2528"/>
    <cfRule type="duplicateValues" dxfId="1960" priority="2529"/>
    <cfRule type="duplicateValues" dxfId="1959" priority="2530"/>
    <cfRule type="duplicateValues" dxfId="1958" priority="2531"/>
    <cfRule type="duplicateValues" dxfId="1957" priority="2532"/>
    <cfRule type="duplicateValues" dxfId="1956" priority="2533"/>
    <cfRule type="duplicateValues" dxfId="1954" priority="2534"/>
    <cfRule type="duplicateValues" dxfId="1955" priority="2535"/>
  </conditionalFormatting>
  <conditionalFormatting sqref="C310">
    <cfRule type="duplicateValues" dxfId="1950" priority="622"/>
    <cfRule type="duplicateValues" dxfId="1949" priority="623"/>
    <cfRule type="duplicateValues" dxfId="1948" priority="624"/>
  </conditionalFormatting>
  <conditionalFormatting sqref="C311">
    <cfRule type="duplicateValues" dxfId="1943" priority="2514"/>
    <cfRule type="duplicateValues" dxfId="1944" priority="2515"/>
    <cfRule type="duplicateValues" dxfId="1947" priority="2516"/>
    <cfRule type="duplicateValues" dxfId="1945" priority="2517"/>
    <cfRule type="duplicateValues" dxfId="1941" priority="2518"/>
    <cfRule type="duplicateValues" dxfId="1940" priority="2519"/>
    <cfRule type="duplicateValues" dxfId="1938" priority="2520"/>
    <cfRule type="duplicateValues" dxfId="1946" priority="2521"/>
    <cfRule type="duplicateValues" dxfId="1942" priority="2522"/>
    <cfRule type="duplicateValues" dxfId="1939" priority="2523"/>
  </conditionalFormatting>
  <conditionalFormatting sqref="C312">
    <cfRule type="duplicateValues" dxfId="1935" priority="2503"/>
    <cfRule type="duplicateValues" dxfId="1936" priority="2504"/>
    <cfRule type="duplicateValues" dxfId="1937" priority="2505"/>
    <cfRule type="duplicateValues" dxfId="1928" priority="2506"/>
    <cfRule type="duplicateValues" dxfId="1930" priority="2507"/>
    <cfRule type="duplicateValues" dxfId="1934" priority="2508"/>
    <cfRule type="duplicateValues" dxfId="1931" priority="2509"/>
    <cfRule type="duplicateValues" dxfId="1932" priority="2510"/>
    <cfRule type="duplicateValues" dxfId="1933" priority="2511"/>
    <cfRule type="duplicateValues" dxfId="1929" priority="2512"/>
  </conditionalFormatting>
  <conditionalFormatting sqref="C313">
    <cfRule type="duplicateValues" dxfId="1927" priority="2489"/>
    <cfRule type="duplicateValues" dxfId="1919" priority="2490"/>
    <cfRule type="duplicateValues" dxfId="1920" priority="2492"/>
    <cfRule type="duplicateValues" dxfId="1923" priority="2493"/>
    <cfRule type="duplicateValues" dxfId="1924" priority="2494"/>
    <cfRule type="duplicateValues" dxfId="1926" priority="2495"/>
    <cfRule type="duplicateValues" dxfId="1916" priority="2496"/>
    <cfRule type="duplicateValues" dxfId="1917" priority="2497"/>
    <cfRule type="duplicateValues" dxfId="1918" priority="2498"/>
    <cfRule type="duplicateValues" dxfId="1921" priority="2499"/>
    <cfRule type="duplicateValues" dxfId="1922" priority="2500"/>
    <cfRule type="duplicateValues" dxfId="1925" priority="2501"/>
  </conditionalFormatting>
  <conditionalFormatting sqref="C314">
    <cfRule type="duplicateValues" dxfId="1907" priority="2476"/>
    <cfRule type="duplicateValues" dxfId="1911" priority="2477"/>
    <cfRule type="duplicateValues" dxfId="1912" priority="2479"/>
    <cfRule type="duplicateValues" dxfId="1913" priority="2480"/>
    <cfRule type="duplicateValues" dxfId="1914" priority="2481"/>
    <cfRule type="duplicateValues" dxfId="1909" priority="2482"/>
    <cfRule type="duplicateValues" dxfId="1915" priority="2483"/>
    <cfRule type="duplicateValues" dxfId="1910" priority="2484"/>
    <cfRule type="duplicateValues" dxfId="1905" priority="2485"/>
    <cfRule type="duplicateValues" dxfId="1906" priority="2486"/>
    <cfRule type="duplicateValues" dxfId="1908" priority="2487"/>
    <cfRule type="duplicateValues" dxfId="1904" priority="2488"/>
  </conditionalFormatting>
  <conditionalFormatting sqref="C315">
    <cfRule type="duplicateValues" dxfId="1893" priority="2465"/>
    <cfRule type="duplicateValues" dxfId="1903" priority="2466"/>
    <cfRule type="duplicateValues" dxfId="1902" priority="2467"/>
    <cfRule type="duplicateValues" dxfId="1895" priority="2468"/>
    <cfRule type="duplicateValues" dxfId="1896" priority="2469"/>
    <cfRule type="duplicateValues" dxfId="1898" priority="2470"/>
    <cfRule type="duplicateValues" dxfId="1899" priority="2471"/>
    <cfRule type="duplicateValues" dxfId="1897" priority="2472"/>
    <cfRule type="duplicateValues" dxfId="1894" priority="2473"/>
    <cfRule type="duplicateValues" dxfId="1900" priority="2474"/>
    <cfRule type="duplicateValues" dxfId="1901" priority="2475"/>
  </conditionalFormatting>
  <conditionalFormatting sqref="C316">
    <cfRule type="duplicateValues" dxfId="1883" priority="2452"/>
    <cfRule type="duplicateValues" dxfId="1884" priority="2453"/>
    <cfRule type="duplicateValues" dxfId="1885" priority="2454"/>
    <cfRule type="duplicateValues" dxfId="1886" priority="2455"/>
    <cfRule type="duplicateValues" dxfId="1887" priority="2456"/>
    <cfRule type="duplicateValues" dxfId="1888" priority="2457"/>
    <cfRule type="duplicateValues" dxfId="1882" priority="2458"/>
    <cfRule type="duplicateValues" dxfId="1889" priority="2459"/>
    <cfRule type="duplicateValues" dxfId="1890" priority="2460"/>
    <cfRule type="duplicateValues" dxfId="1891" priority="2461"/>
    <cfRule type="duplicateValues" dxfId="1892" priority="2462"/>
    <cfRule type="duplicateValues" dxfId="1881" priority="2463"/>
  </conditionalFormatting>
  <conditionalFormatting sqref="C317">
    <cfRule type="duplicateValues" dxfId="1873" priority="2439"/>
    <cfRule type="duplicateValues" dxfId="1880" priority="2440"/>
    <cfRule type="duplicateValues" dxfId="1878" priority="2441"/>
    <cfRule type="duplicateValues" dxfId="1879" priority="2442"/>
    <cfRule type="duplicateValues" dxfId="1874" priority="2443"/>
    <cfRule type="duplicateValues" dxfId="1869" priority="2444"/>
    <cfRule type="duplicateValues" dxfId="1871" priority="2445"/>
    <cfRule type="duplicateValues" dxfId="1877" priority="2446"/>
    <cfRule type="duplicateValues" dxfId="1875" priority="2447"/>
    <cfRule type="duplicateValues" dxfId="1876" priority="2448"/>
    <cfRule type="duplicateValues" dxfId="1870" priority="2449"/>
    <cfRule type="duplicateValues" dxfId="1872" priority="2450"/>
  </conditionalFormatting>
  <conditionalFormatting sqref="C318">
    <cfRule type="duplicateValues" dxfId="1865" priority="2426"/>
    <cfRule type="duplicateValues" dxfId="1864" priority="2427"/>
    <cfRule type="duplicateValues" dxfId="1866" priority="2428"/>
    <cfRule type="duplicateValues" dxfId="1867" priority="2429"/>
    <cfRule type="duplicateValues" dxfId="1862" priority="2430"/>
    <cfRule type="duplicateValues" dxfId="1868" priority="2431"/>
    <cfRule type="duplicateValues" dxfId="1859" priority="2432"/>
    <cfRule type="duplicateValues" dxfId="1860" priority="2433"/>
    <cfRule type="duplicateValues" dxfId="1863" priority="2434"/>
    <cfRule type="duplicateValues" dxfId="1858" priority="2435"/>
    <cfRule type="duplicateValues" dxfId="1861" priority="2436"/>
    <cfRule type="duplicateValues" dxfId="1857" priority="2437"/>
  </conditionalFormatting>
  <conditionalFormatting sqref="C319">
    <cfRule type="duplicateValues" dxfId="1856" priority="2415"/>
    <cfRule type="duplicateValues" dxfId="1847" priority="2416"/>
    <cfRule type="duplicateValues" dxfId="1855" priority="2417"/>
    <cfRule type="duplicateValues" dxfId="1851" priority="2418"/>
    <cfRule type="duplicateValues" dxfId="1852" priority="2419"/>
    <cfRule type="duplicateValues" dxfId="1849" priority="2420"/>
    <cfRule type="duplicateValues" dxfId="1848" priority="2421"/>
    <cfRule type="duplicateValues" dxfId="1854" priority="2422"/>
    <cfRule type="duplicateValues" dxfId="1853" priority="2423"/>
    <cfRule type="duplicateValues" dxfId="1850" priority="2424"/>
  </conditionalFormatting>
  <conditionalFormatting sqref="C320">
    <cfRule type="duplicateValues" dxfId="1842" priority="2404"/>
    <cfRule type="duplicateValues" dxfId="1841" priority="2405"/>
    <cfRule type="duplicateValues" dxfId="1839" priority="2406"/>
    <cfRule type="duplicateValues" dxfId="1843" priority="2407"/>
    <cfRule type="duplicateValues" dxfId="1840" priority="2408"/>
    <cfRule type="duplicateValues" dxfId="1844" priority="2409"/>
    <cfRule type="duplicateValues" dxfId="1838" priority="2410"/>
    <cfRule type="duplicateValues" dxfId="1845" priority="2411"/>
    <cfRule type="duplicateValues" dxfId="1846" priority="2412"/>
    <cfRule type="duplicateValues" dxfId="1837" priority="2413"/>
  </conditionalFormatting>
  <conditionalFormatting sqref="C321">
    <cfRule type="duplicateValues" dxfId="1834" priority="2393"/>
    <cfRule type="duplicateValues" dxfId="1836" priority="2394"/>
    <cfRule type="duplicateValues" dxfId="1830" priority="2395"/>
    <cfRule type="duplicateValues" dxfId="1832" priority="2396"/>
    <cfRule type="duplicateValues" dxfId="1831" priority="2397"/>
    <cfRule type="duplicateValues" dxfId="1827" priority="2398"/>
    <cfRule type="duplicateValues" dxfId="1829" priority="2399"/>
    <cfRule type="duplicateValues" dxfId="1828" priority="2400"/>
    <cfRule type="duplicateValues" dxfId="1835" priority="2401"/>
    <cfRule type="duplicateValues" dxfId="1833" priority="2402"/>
  </conditionalFormatting>
  <conditionalFormatting sqref="C322">
    <cfRule type="duplicateValues" dxfId="1822" priority="2382"/>
    <cfRule type="duplicateValues" dxfId="1817" priority="2383"/>
    <cfRule type="duplicateValues" dxfId="1818" priority="2384"/>
    <cfRule type="duplicateValues" dxfId="1819" priority="2385"/>
    <cfRule type="duplicateValues" dxfId="1820" priority="2386"/>
    <cfRule type="duplicateValues" dxfId="1821" priority="2387"/>
    <cfRule type="duplicateValues" dxfId="1824" priority="2388"/>
    <cfRule type="duplicateValues" dxfId="1823" priority="2389"/>
    <cfRule type="duplicateValues" dxfId="1825" priority="2390"/>
    <cfRule type="duplicateValues" dxfId="1826" priority="2391"/>
  </conditionalFormatting>
  <conditionalFormatting sqref="C323">
    <cfRule type="duplicateValues" dxfId="1807" priority="2371"/>
    <cfRule type="duplicateValues" dxfId="1808" priority="2372"/>
    <cfRule type="duplicateValues" dxfId="1809" priority="2373"/>
    <cfRule type="duplicateValues" dxfId="1816" priority="2374"/>
    <cfRule type="duplicateValues" dxfId="1810" priority="2375"/>
    <cfRule type="duplicateValues" dxfId="1811" priority="2376"/>
    <cfRule type="duplicateValues" dxfId="1812" priority="2377"/>
    <cfRule type="duplicateValues" dxfId="1815" priority="2378"/>
    <cfRule type="duplicateValues" dxfId="1813" priority="2379"/>
    <cfRule type="duplicateValues" dxfId="1814" priority="2380"/>
  </conditionalFormatting>
  <conditionalFormatting sqref="C324">
    <cfRule type="duplicateValues" dxfId="1796" priority="2358"/>
    <cfRule type="duplicateValues" dxfId="1805" priority="2359"/>
    <cfRule type="duplicateValues" dxfId="1806" priority="2360"/>
    <cfRule type="duplicateValues" dxfId="1795" priority="2361"/>
    <cfRule type="duplicateValues" dxfId="1801" priority="2362"/>
    <cfRule type="duplicateValues" dxfId="1803" priority="2363"/>
    <cfRule type="duplicateValues" dxfId="1800" priority="2364"/>
    <cfRule type="duplicateValues" dxfId="1804" priority="2365"/>
    <cfRule type="duplicateValues" dxfId="1802" priority="2366"/>
    <cfRule type="duplicateValues" dxfId="1799" priority="2367"/>
    <cfRule type="duplicateValues" dxfId="1798" priority="2368"/>
    <cfRule type="duplicateValues" dxfId="1797" priority="2369"/>
  </conditionalFormatting>
  <conditionalFormatting sqref="C325">
    <cfRule type="duplicateValues" dxfId="1786" priority="2347"/>
    <cfRule type="duplicateValues" dxfId="1790" priority="2348"/>
    <cfRule type="duplicateValues" dxfId="1789" priority="2349"/>
    <cfRule type="duplicateValues" dxfId="1791" priority="2350"/>
    <cfRule type="duplicateValues" dxfId="1792" priority="2351"/>
    <cfRule type="duplicateValues" dxfId="1793" priority="2352"/>
    <cfRule type="duplicateValues" dxfId="1794" priority="2353"/>
    <cfRule type="duplicateValues" dxfId="1788" priority="2354"/>
    <cfRule type="duplicateValues" dxfId="1787" priority="2355"/>
    <cfRule type="duplicateValues" dxfId="1785" priority="2356"/>
  </conditionalFormatting>
  <conditionalFormatting sqref="C326">
    <cfRule type="duplicateValues" dxfId="1783" priority="636"/>
    <cfRule type="duplicateValues" dxfId="1784" priority="637"/>
  </conditionalFormatting>
  <conditionalFormatting sqref="C327">
    <cfRule type="duplicateValues" dxfId="1773" priority="2668"/>
    <cfRule type="duplicateValues" dxfId="1772" priority="2669"/>
    <cfRule type="duplicateValues" dxfId="1771" priority="2670"/>
    <cfRule type="duplicateValues" dxfId="1774" priority="2671"/>
    <cfRule type="duplicateValues" dxfId="1776" priority="2672"/>
    <cfRule type="duplicateValues" dxfId="1777" priority="2673"/>
    <cfRule type="duplicateValues" dxfId="1778" priority="2674"/>
    <cfRule type="duplicateValues" dxfId="1779" priority="2675"/>
    <cfRule type="duplicateValues" dxfId="1780" priority="2676"/>
    <cfRule type="duplicateValues" dxfId="1781" priority="2677"/>
    <cfRule type="duplicateValues" dxfId="1782" priority="2678"/>
    <cfRule type="duplicateValues" dxfId="1775" priority="2679"/>
  </conditionalFormatting>
  <conditionalFormatting sqref="C328">
    <cfRule type="duplicateValues" dxfId="1758" priority="2330"/>
    <cfRule type="duplicateValues" dxfId="1757" priority="2333"/>
    <cfRule type="duplicateValues" dxfId="1770" priority="2334"/>
    <cfRule type="duplicateValues" dxfId="1762" priority="2335"/>
    <cfRule type="duplicateValues" dxfId="1763" priority="2336"/>
    <cfRule type="duplicateValues" dxfId="1759" priority="2337"/>
    <cfRule type="duplicateValues" dxfId="1760" priority="2338"/>
    <cfRule type="duplicateValues" dxfId="1761" priority="2339"/>
    <cfRule type="duplicateValues" dxfId="1769" priority="2340"/>
    <cfRule type="duplicateValues" dxfId="1768" priority="2341"/>
    <cfRule type="duplicateValues" dxfId="1767" priority="2342"/>
    <cfRule type="duplicateValues" dxfId="1765" priority="2343"/>
    <cfRule type="duplicateValues" dxfId="1764" priority="2344"/>
    <cfRule type="duplicateValues" dxfId="1766" priority="2345"/>
  </conditionalFormatting>
  <conditionalFormatting sqref="C333">
    <cfRule type="duplicateValues" dxfId="1755" priority="634"/>
    <cfRule type="duplicateValues" dxfId="1756" priority="635"/>
  </conditionalFormatting>
  <conditionalFormatting sqref="C364">
    <cfRule type="duplicateValues" dxfId="1750" priority="2007"/>
    <cfRule type="duplicateValues" dxfId="1751" priority="2008"/>
    <cfRule type="duplicateValues" dxfId="1752" priority="2009"/>
    <cfRule type="duplicateValues" dxfId="1753" priority="2010"/>
    <cfRule type="duplicateValues" dxfId="1754" priority="2011"/>
  </conditionalFormatting>
  <conditionalFormatting sqref="C364:C365">
    <cfRule type="duplicateValues" dxfId="1749" priority="1998"/>
    <cfRule type="duplicateValues" dxfId="1743" priority="2012"/>
    <cfRule type="duplicateValues" dxfId="1744" priority="2013"/>
    <cfRule type="duplicateValues" dxfId="1745" priority="2014"/>
    <cfRule type="duplicateValues" dxfId="1746" priority="2015"/>
    <cfRule type="duplicateValues" dxfId="1747" priority="2016"/>
    <cfRule type="duplicateValues" dxfId="1748" priority="2017"/>
  </conditionalFormatting>
  <conditionalFormatting sqref="C365">
    <cfRule type="duplicateValues" dxfId="1742" priority="2001"/>
    <cfRule type="duplicateValues" dxfId="1741" priority="2002"/>
    <cfRule type="duplicateValues" dxfId="1740" priority="2003"/>
    <cfRule type="duplicateValues" dxfId="1739" priority="2004"/>
    <cfRule type="duplicateValues" dxfId="1738" priority="2005"/>
  </conditionalFormatting>
  <conditionalFormatting sqref="C366:C367">
    <cfRule type="duplicateValues" dxfId="1729" priority="1977"/>
    <cfRule type="duplicateValues" dxfId="1728" priority="1978"/>
    <cfRule type="duplicateValues" dxfId="1737" priority="1979"/>
    <cfRule type="duplicateValues" dxfId="1735" priority="1980"/>
    <cfRule type="duplicateValues" dxfId="1734" priority="1981"/>
    <cfRule type="duplicateValues" dxfId="1736" priority="1982"/>
    <cfRule type="duplicateValues" dxfId="1733" priority="1983"/>
    <cfRule type="duplicateValues" dxfId="1732" priority="1984"/>
    <cfRule type="duplicateValues" dxfId="1731" priority="1985"/>
    <cfRule type="duplicateValues" dxfId="1730" priority="1986"/>
  </conditionalFormatting>
  <conditionalFormatting sqref="C368">
    <cfRule type="duplicateValues" dxfId="1715" priority="1962"/>
    <cfRule type="duplicateValues" dxfId="1720" priority="1964"/>
    <cfRule type="duplicateValues" dxfId="1718" priority="1965"/>
    <cfRule type="duplicateValues" dxfId="1717" priority="1966"/>
    <cfRule type="duplicateValues" dxfId="1716" priority="1967"/>
    <cfRule type="duplicateValues" dxfId="1723" priority="1968"/>
    <cfRule type="duplicateValues" dxfId="1724" priority="1969"/>
    <cfRule type="duplicateValues" dxfId="1725" priority="1970"/>
    <cfRule type="duplicateValues" dxfId="1726" priority="1971"/>
    <cfRule type="duplicateValues" dxfId="1727" priority="1972"/>
    <cfRule type="duplicateValues" dxfId="1722" priority="1973"/>
    <cfRule type="duplicateValues" dxfId="1719" priority="1974"/>
    <cfRule type="duplicateValues" dxfId="1721" priority="1975"/>
  </conditionalFormatting>
  <conditionalFormatting sqref="C369">
    <cfRule type="duplicateValues" dxfId="1713" priority="1949"/>
    <cfRule type="duplicateValues" dxfId="1712" priority="1952"/>
    <cfRule type="duplicateValues" dxfId="1711" priority="1953"/>
    <cfRule type="duplicateValues" dxfId="1710" priority="1954"/>
    <cfRule type="duplicateValues" dxfId="1709" priority="1955"/>
    <cfRule type="duplicateValues" dxfId="1708" priority="1956"/>
    <cfRule type="duplicateValues" dxfId="1704" priority="1957"/>
    <cfRule type="duplicateValues" dxfId="1707" priority="1958"/>
    <cfRule type="duplicateValues" dxfId="1714" priority="1959"/>
    <cfRule type="duplicateValues" dxfId="1706" priority="1960"/>
    <cfRule type="duplicateValues" dxfId="1705" priority="1961"/>
  </conditionalFormatting>
  <conditionalFormatting sqref="C370">
    <cfRule type="duplicateValues" dxfId="1697" priority="1936"/>
    <cfRule type="duplicateValues" dxfId="1695" priority="1939"/>
    <cfRule type="duplicateValues" dxfId="1694" priority="1940"/>
    <cfRule type="duplicateValues" dxfId="1703" priority="1941"/>
    <cfRule type="duplicateValues" dxfId="1702" priority="1942"/>
    <cfRule type="duplicateValues" dxfId="1701" priority="1943"/>
    <cfRule type="duplicateValues" dxfId="1700" priority="1944"/>
    <cfRule type="duplicateValues" dxfId="1699" priority="1945"/>
    <cfRule type="duplicateValues" dxfId="1698" priority="1946"/>
    <cfRule type="duplicateValues" dxfId="1693" priority="1947"/>
    <cfRule type="duplicateValues" dxfId="1696" priority="1948"/>
  </conditionalFormatting>
  <conditionalFormatting sqref="C371">
    <cfRule type="duplicateValues" dxfId="1689" priority="1923"/>
    <cfRule type="duplicateValues" dxfId="1690" priority="1925"/>
    <cfRule type="duplicateValues" dxfId="1691" priority="1926"/>
    <cfRule type="duplicateValues" dxfId="1692" priority="1927"/>
    <cfRule type="duplicateValues" dxfId="1681" priority="1928"/>
    <cfRule type="duplicateValues" dxfId="1688" priority="1929"/>
    <cfRule type="duplicateValues" dxfId="1687" priority="1930"/>
    <cfRule type="duplicateValues" dxfId="1686" priority="1931"/>
    <cfRule type="duplicateValues" dxfId="1685" priority="1932"/>
    <cfRule type="duplicateValues" dxfId="1684" priority="1933"/>
    <cfRule type="duplicateValues" dxfId="1683" priority="1934"/>
    <cfRule type="duplicateValues" dxfId="1682" priority="1935"/>
  </conditionalFormatting>
  <conditionalFormatting sqref="C372">
    <cfRule type="duplicateValues" dxfId="1677" priority="1914"/>
    <cfRule type="duplicateValues" dxfId="1676" priority="1916"/>
    <cfRule type="duplicateValues" dxfId="1674" priority="1917"/>
    <cfRule type="duplicateValues" dxfId="1675" priority="1918"/>
    <cfRule type="duplicateValues" dxfId="1678" priority="1919"/>
    <cfRule type="duplicateValues" dxfId="1680" priority="1920"/>
    <cfRule type="duplicateValues" dxfId="1673" priority="1921"/>
    <cfRule type="duplicateValues" dxfId="1679" priority="1922"/>
  </conditionalFormatting>
  <conditionalFormatting sqref="C373">
    <cfRule type="duplicateValues" dxfId="1671" priority="1906"/>
    <cfRule type="duplicateValues" dxfId="1670" priority="1907"/>
    <cfRule type="duplicateValues" dxfId="1669" priority="1908"/>
    <cfRule type="duplicateValues" dxfId="1668" priority="1909"/>
    <cfRule type="duplicateValues" dxfId="1667" priority="1910"/>
    <cfRule type="duplicateValues" dxfId="1665" priority="1911"/>
    <cfRule type="duplicateValues" dxfId="1666" priority="1912"/>
    <cfRule type="duplicateValues" dxfId="1672" priority="1913"/>
  </conditionalFormatting>
  <conditionalFormatting sqref="C374">
    <cfRule type="duplicateValues" dxfId="1663" priority="619"/>
    <cfRule type="duplicateValues" dxfId="1662" priority="620"/>
    <cfRule type="duplicateValues" dxfId="1664" priority="621"/>
  </conditionalFormatting>
  <conditionalFormatting sqref="C375">
    <cfRule type="duplicateValues" dxfId="1655" priority="1893"/>
    <cfRule type="duplicateValues" dxfId="1653" priority="1895"/>
    <cfRule type="duplicateValues" dxfId="1656" priority="1896"/>
    <cfRule type="duplicateValues" dxfId="1657" priority="1897"/>
    <cfRule type="duplicateValues" dxfId="1658" priority="1898"/>
    <cfRule type="duplicateValues" dxfId="1659" priority="1899"/>
    <cfRule type="duplicateValues" dxfId="1660" priority="1900"/>
    <cfRule type="duplicateValues" dxfId="1661" priority="1901"/>
    <cfRule type="duplicateValues" dxfId="1651" priority="1902"/>
    <cfRule type="duplicateValues" dxfId="1652" priority="1903"/>
    <cfRule type="duplicateValues" dxfId="1654" priority="1904"/>
  </conditionalFormatting>
  <conditionalFormatting sqref="C376">
    <cfRule type="duplicateValues" dxfId="1642" priority="1882"/>
    <cfRule type="duplicateValues" dxfId="1650" priority="1885"/>
    <cfRule type="duplicateValues" dxfId="1649" priority="1886"/>
    <cfRule type="duplicateValues" dxfId="1645" priority="1887"/>
    <cfRule type="duplicateValues" dxfId="1648" priority="1888"/>
    <cfRule type="duplicateValues" dxfId="1647" priority="1889"/>
    <cfRule type="duplicateValues" dxfId="1646" priority="1890"/>
    <cfRule type="duplicateValues" dxfId="1644" priority="1891"/>
    <cfRule type="duplicateValues" dxfId="1643" priority="1892"/>
  </conditionalFormatting>
  <conditionalFormatting sqref="C377">
    <cfRule type="duplicateValues" dxfId="1631" priority="1870"/>
    <cfRule type="duplicateValues" dxfId="1632" priority="1872"/>
    <cfRule type="duplicateValues" dxfId="1641" priority="1873"/>
    <cfRule type="duplicateValues" dxfId="1633" priority="1874"/>
    <cfRule type="duplicateValues" dxfId="1634" priority="1875"/>
    <cfRule type="duplicateValues" dxfId="1635" priority="1876"/>
    <cfRule type="duplicateValues" dxfId="1636" priority="1877"/>
    <cfRule type="duplicateValues" dxfId="1637" priority="1878"/>
    <cfRule type="duplicateValues" dxfId="1638" priority="1879"/>
    <cfRule type="duplicateValues" dxfId="1639" priority="1880"/>
    <cfRule type="duplicateValues" dxfId="1640" priority="1881"/>
  </conditionalFormatting>
  <conditionalFormatting sqref="C378">
    <cfRule type="duplicateValues" dxfId="1630" priority="616"/>
    <cfRule type="duplicateValues" dxfId="1629" priority="617"/>
    <cfRule type="duplicateValues" dxfId="1628" priority="618"/>
  </conditionalFormatting>
  <conditionalFormatting sqref="C379">
    <cfRule type="duplicateValues" dxfId="1626" priority="1854"/>
    <cfRule type="duplicateValues" dxfId="1627" priority="1856"/>
    <cfRule type="duplicateValues" dxfId="1614" priority="1857"/>
    <cfRule type="duplicateValues" dxfId="1617" priority="1858"/>
    <cfRule type="duplicateValues" dxfId="1618" priority="1859"/>
    <cfRule type="duplicateValues" dxfId="1625" priority="1860"/>
    <cfRule type="duplicateValues" dxfId="1619" priority="1861"/>
    <cfRule type="duplicateValues" dxfId="1620" priority="1862"/>
    <cfRule type="duplicateValues" dxfId="1621" priority="1863"/>
    <cfRule type="duplicateValues" dxfId="1622" priority="1864"/>
    <cfRule type="duplicateValues" dxfId="1623" priority="1865"/>
    <cfRule type="duplicateValues" dxfId="1624" priority="1866"/>
    <cfRule type="duplicateValues" dxfId="1615" priority="1867"/>
    <cfRule type="duplicateValues" dxfId="1616" priority="1868"/>
  </conditionalFormatting>
  <conditionalFormatting sqref="C380">
    <cfRule type="duplicateValues" dxfId="1613" priority="613"/>
    <cfRule type="duplicateValues" dxfId="1612" priority="614"/>
    <cfRule type="duplicateValues" dxfId="1611" priority="615"/>
  </conditionalFormatting>
  <conditionalFormatting sqref="C381">
    <cfRule type="duplicateValues" dxfId="1601" priority="1843"/>
    <cfRule type="duplicateValues" dxfId="1610" priority="1844"/>
    <cfRule type="duplicateValues" dxfId="1606" priority="1845"/>
    <cfRule type="duplicateValues" dxfId="1609" priority="1846"/>
    <cfRule type="duplicateValues" dxfId="1608" priority="1847"/>
    <cfRule type="duplicateValues" dxfId="1607" priority="1848"/>
    <cfRule type="duplicateValues" dxfId="1605" priority="1849"/>
    <cfRule type="duplicateValues" dxfId="1604" priority="1850"/>
    <cfRule type="duplicateValues" dxfId="1603" priority="1851"/>
    <cfRule type="duplicateValues" dxfId="1602" priority="1852"/>
  </conditionalFormatting>
  <conditionalFormatting sqref="C382">
    <cfRule type="duplicateValues" dxfId="1593" priority="1829"/>
    <cfRule type="duplicateValues" dxfId="1594" priority="1832"/>
    <cfRule type="duplicateValues" dxfId="1590" priority="1833"/>
    <cfRule type="duplicateValues" dxfId="1591" priority="1834"/>
    <cfRule type="duplicateValues" dxfId="1595" priority="1835"/>
    <cfRule type="duplicateValues" dxfId="1596" priority="1836"/>
    <cfRule type="duplicateValues" dxfId="1597" priority="1837"/>
    <cfRule type="duplicateValues" dxfId="1592" priority="1838"/>
    <cfRule type="duplicateValues" dxfId="1598" priority="1839"/>
    <cfRule type="duplicateValues" dxfId="1599" priority="1840"/>
    <cfRule type="duplicateValues" dxfId="1600" priority="1841"/>
  </conditionalFormatting>
  <conditionalFormatting sqref="C383">
    <cfRule type="duplicateValues" dxfId="1577" priority="1815"/>
    <cfRule type="duplicateValues" dxfId="1578" priority="1817"/>
    <cfRule type="duplicateValues" dxfId="1579" priority="1818"/>
    <cfRule type="duplicateValues" dxfId="1580" priority="1819"/>
    <cfRule type="duplicateValues" dxfId="1586" priority="1820"/>
    <cfRule type="duplicateValues" dxfId="1581" priority="1821"/>
    <cfRule type="duplicateValues" dxfId="1582" priority="1822"/>
    <cfRule type="duplicateValues" dxfId="1583" priority="1823"/>
    <cfRule type="duplicateValues" dxfId="1584" priority="1824"/>
    <cfRule type="duplicateValues" dxfId="1585" priority="1825"/>
    <cfRule type="duplicateValues" dxfId="1589" priority="1826"/>
    <cfRule type="duplicateValues" dxfId="1587" priority="1827"/>
    <cfRule type="duplicateValues" dxfId="1588" priority="1828"/>
  </conditionalFormatting>
  <conditionalFormatting sqref="C384">
    <cfRule type="duplicateValues" dxfId="1572" priority="1801"/>
    <cfRule type="duplicateValues" dxfId="1571" priority="1803"/>
    <cfRule type="duplicateValues" dxfId="1570" priority="1804"/>
    <cfRule type="duplicateValues" dxfId="1576" priority="1805"/>
    <cfRule type="duplicateValues" dxfId="1567" priority="1806"/>
    <cfRule type="duplicateValues" dxfId="1573" priority="1807"/>
    <cfRule type="duplicateValues" dxfId="1574" priority="1808"/>
    <cfRule type="duplicateValues" dxfId="1575" priority="1809"/>
    <cfRule type="duplicateValues" dxfId="1564" priority="1810"/>
    <cfRule type="duplicateValues" dxfId="1565" priority="1811"/>
    <cfRule type="duplicateValues" dxfId="1566" priority="1812"/>
    <cfRule type="duplicateValues" dxfId="1568" priority="1813"/>
    <cfRule type="duplicateValues" dxfId="1569" priority="1814"/>
  </conditionalFormatting>
  <conditionalFormatting sqref="C385">
    <cfRule type="duplicateValues" dxfId="1562" priority="1788"/>
    <cfRule type="duplicateValues" dxfId="1563" priority="1789"/>
  </conditionalFormatting>
  <conditionalFormatting sqref="C385:C386">
    <cfRule type="duplicateValues" dxfId="1553" priority="1785"/>
    <cfRule type="duplicateValues" dxfId="1551" priority="1791"/>
    <cfRule type="duplicateValues" dxfId="1561" priority="1792"/>
    <cfRule type="duplicateValues" dxfId="1560" priority="1793"/>
    <cfRule type="duplicateValues" dxfId="1559" priority="1794"/>
    <cfRule type="duplicateValues" dxfId="1558" priority="1795"/>
    <cfRule type="duplicateValues" dxfId="1552" priority="1796"/>
    <cfRule type="duplicateValues" dxfId="1554" priority="1797"/>
    <cfRule type="duplicateValues" dxfId="1557" priority="1798"/>
    <cfRule type="duplicateValues" dxfId="1555" priority="1799"/>
    <cfRule type="duplicateValues" dxfId="1556" priority="1800"/>
  </conditionalFormatting>
  <conditionalFormatting sqref="C386">
    <cfRule type="duplicateValues" dxfId="1550" priority="1790"/>
  </conditionalFormatting>
  <conditionalFormatting sqref="C387">
    <cfRule type="duplicateValues" dxfId="1548" priority="1773"/>
    <cfRule type="duplicateValues" dxfId="1547" priority="1774"/>
    <cfRule type="duplicateValues" dxfId="1546" priority="1775"/>
    <cfRule type="duplicateValues" dxfId="1538" priority="1776"/>
    <cfRule type="duplicateValues" dxfId="1545" priority="1777"/>
    <cfRule type="duplicateValues" dxfId="1544" priority="1778"/>
    <cfRule type="duplicateValues" dxfId="1539" priority="1779"/>
    <cfRule type="duplicateValues" dxfId="1543" priority="1780"/>
    <cfRule type="duplicateValues" dxfId="1542" priority="1781"/>
    <cfRule type="duplicateValues" dxfId="1541" priority="1782"/>
    <cfRule type="duplicateValues" dxfId="1549" priority="1783"/>
    <cfRule type="duplicateValues" dxfId="1540" priority="1784"/>
  </conditionalFormatting>
  <conditionalFormatting sqref="C388">
    <cfRule type="duplicateValues" dxfId="1528" priority="1760"/>
    <cfRule type="duplicateValues" dxfId="1527" priority="1761"/>
    <cfRule type="duplicateValues" dxfId="1529" priority="1762"/>
    <cfRule type="duplicateValues" dxfId="1537" priority="1763"/>
    <cfRule type="duplicateValues" dxfId="1536" priority="1764"/>
    <cfRule type="duplicateValues" dxfId="1531" priority="1765"/>
    <cfRule type="duplicateValues" dxfId="1532" priority="1766"/>
    <cfRule type="duplicateValues" dxfId="1535" priority="1767"/>
    <cfRule type="duplicateValues" dxfId="1526" priority="1768"/>
    <cfRule type="duplicateValues" dxfId="1525" priority="1769"/>
    <cfRule type="duplicateValues" dxfId="1533" priority="1770"/>
    <cfRule type="duplicateValues" dxfId="1530" priority="1771"/>
    <cfRule type="duplicateValues" dxfId="1534" priority="1772"/>
  </conditionalFormatting>
  <conditionalFormatting sqref="C389">
    <cfRule type="duplicateValues" dxfId="1522" priority="1747"/>
    <cfRule type="duplicateValues" dxfId="1514" priority="1749"/>
    <cfRule type="duplicateValues" dxfId="1515" priority="1750"/>
    <cfRule type="duplicateValues" dxfId="1524" priority="1751"/>
    <cfRule type="duplicateValues" dxfId="1523" priority="1752"/>
    <cfRule type="duplicateValues" dxfId="1521" priority="1753"/>
    <cfRule type="duplicateValues" dxfId="1516" priority="1754"/>
    <cfRule type="duplicateValues" dxfId="1517" priority="1755"/>
    <cfRule type="duplicateValues" dxfId="1520" priority="1756"/>
    <cfRule type="duplicateValues" dxfId="1518" priority="1757"/>
    <cfRule type="duplicateValues" dxfId="1519" priority="1758"/>
  </conditionalFormatting>
  <conditionalFormatting sqref="C390">
    <cfRule type="duplicateValues" dxfId="1505" priority="1735"/>
    <cfRule type="duplicateValues" dxfId="1509" priority="1737"/>
    <cfRule type="duplicateValues" dxfId="1513" priority="1738"/>
    <cfRule type="duplicateValues" dxfId="1512" priority="1739"/>
    <cfRule type="duplicateValues" dxfId="1503" priority="1740"/>
    <cfRule type="duplicateValues" dxfId="1511" priority="1741"/>
    <cfRule type="duplicateValues" dxfId="1510" priority="1742"/>
    <cfRule type="duplicateValues" dxfId="1504" priority="1743"/>
    <cfRule type="duplicateValues" dxfId="1508" priority="1744"/>
    <cfRule type="duplicateValues" dxfId="1507" priority="1745"/>
    <cfRule type="duplicateValues" dxfId="1506" priority="1746"/>
  </conditionalFormatting>
  <conditionalFormatting sqref="C391">
    <cfRule type="duplicateValues" dxfId="1493" priority="1725"/>
    <cfRule type="duplicateValues" dxfId="1494" priority="1726"/>
    <cfRule type="duplicateValues" dxfId="1495" priority="1727"/>
    <cfRule type="duplicateValues" dxfId="1496" priority="1728"/>
    <cfRule type="duplicateValues" dxfId="1497" priority="1729"/>
    <cfRule type="duplicateValues" dxfId="1498" priority="1730"/>
    <cfRule type="duplicateValues" dxfId="1499" priority="1731"/>
    <cfRule type="duplicateValues" dxfId="1500" priority="1732"/>
    <cfRule type="duplicateValues" dxfId="1501" priority="1733"/>
    <cfRule type="duplicateValues" dxfId="1502" priority="1734"/>
  </conditionalFormatting>
  <conditionalFormatting sqref="C392">
    <cfRule type="duplicateValues" dxfId="1486" priority="1714"/>
    <cfRule type="duplicateValues" dxfId="1485" priority="1715"/>
    <cfRule type="duplicateValues" dxfId="1484" priority="1716"/>
    <cfRule type="duplicateValues" dxfId="1483" priority="1717"/>
    <cfRule type="duplicateValues" dxfId="1492" priority="1718"/>
    <cfRule type="duplicateValues" dxfId="1491" priority="1719"/>
    <cfRule type="duplicateValues" dxfId="1490" priority="1720"/>
    <cfRule type="duplicateValues" dxfId="1487" priority="1721"/>
    <cfRule type="duplicateValues" dxfId="1489" priority="1722"/>
    <cfRule type="duplicateValues" dxfId="1488" priority="1723"/>
  </conditionalFormatting>
  <conditionalFormatting sqref="C393">
    <cfRule type="duplicateValues" dxfId="1479" priority="1707"/>
    <cfRule type="duplicateValues" dxfId="1478" priority="1708"/>
    <cfRule type="duplicateValues" dxfId="1477" priority="1709"/>
    <cfRule type="duplicateValues" dxfId="1481" priority="1710"/>
    <cfRule type="duplicateValues" dxfId="1482" priority="1711"/>
    <cfRule type="duplicateValues" dxfId="1480" priority="1712"/>
  </conditionalFormatting>
  <conditionalFormatting sqref="C394">
    <cfRule type="duplicateValues" dxfId="1474" priority="1699"/>
    <cfRule type="duplicateValues" dxfId="1472" priority="1700"/>
    <cfRule type="duplicateValues" dxfId="1475" priority="1701"/>
    <cfRule type="duplicateValues" dxfId="1476" priority="1702"/>
    <cfRule type="duplicateValues" dxfId="1473" priority="1704"/>
    <cfRule type="duplicateValues" dxfId="1471" priority="1705"/>
  </conditionalFormatting>
  <conditionalFormatting sqref="C395">
    <cfRule type="duplicateValues" dxfId="1465" priority="1693"/>
    <cfRule type="duplicateValues" dxfId="1470" priority="1694"/>
    <cfRule type="duplicateValues" dxfId="1469" priority="1695"/>
    <cfRule type="duplicateValues" dxfId="1468" priority="1696"/>
    <cfRule type="duplicateValues" dxfId="1467" priority="1697"/>
    <cfRule type="duplicateValues" dxfId="1466" priority="1698"/>
  </conditionalFormatting>
  <conditionalFormatting sqref="C396">
    <cfRule type="duplicateValues" dxfId="1458" priority="1685"/>
    <cfRule type="duplicateValues" dxfId="1459" priority="1686"/>
    <cfRule type="duplicateValues" dxfId="1460" priority="1687"/>
    <cfRule type="duplicateValues" dxfId="1461" priority="1688"/>
    <cfRule type="duplicateValues" dxfId="1462" priority="1689"/>
    <cfRule type="duplicateValues" dxfId="1463" priority="1690"/>
    <cfRule type="duplicateValues" dxfId="1464" priority="1691"/>
  </conditionalFormatting>
  <conditionalFormatting sqref="C397">
    <cfRule type="duplicateValues" dxfId="1455" priority="1680"/>
    <cfRule type="duplicateValues" dxfId="1456" priority="1681"/>
    <cfRule type="duplicateValues" dxfId="1454" priority="1682"/>
    <cfRule type="duplicateValues" dxfId="1457" priority="1683"/>
  </conditionalFormatting>
  <conditionalFormatting sqref="C398">
    <cfRule type="duplicateValues" dxfId="1451" priority="1674"/>
    <cfRule type="duplicateValues" dxfId="1453" priority="1676"/>
    <cfRule type="duplicateValues" dxfId="1452" priority="1677"/>
    <cfRule type="duplicateValues" dxfId="1450" priority="1678"/>
  </conditionalFormatting>
  <conditionalFormatting sqref="C399">
    <cfRule type="duplicateValues" dxfId="1447" priority="1670"/>
    <cfRule type="duplicateValues" dxfId="1446" priority="1671"/>
    <cfRule type="duplicateValues" dxfId="1449" priority="1672"/>
    <cfRule type="duplicateValues" dxfId="1448" priority="1673"/>
  </conditionalFormatting>
  <conditionalFormatting sqref="C400">
    <cfRule type="duplicateValues" dxfId="1445" priority="1665"/>
    <cfRule type="duplicateValues" dxfId="1444" priority="1666"/>
    <cfRule type="duplicateValues" dxfId="1442" priority="1667"/>
    <cfRule type="duplicateValues" dxfId="1443" priority="1668"/>
  </conditionalFormatting>
  <conditionalFormatting sqref="C401">
    <cfRule type="duplicateValues" dxfId="1438" priority="1660"/>
    <cfRule type="duplicateValues" dxfId="1441" priority="1661"/>
    <cfRule type="duplicateValues" dxfId="1439" priority="1662"/>
    <cfRule type="duplicateValues" dxfId="1440" priority="1663"/>
  </conditionalFormatting>
  <conditionalFormatting sqref="C402">
    <cfRule type="duplicateValues" dxfId="1435" priority="1655"/>
    <cfRule type="duplicateValues" dxfId="1436" priority="1656"/>
    <cfRule type="duplicateValues" dxfId="1437" priority="1657"/>
    <cfRule type="duplicateValues" dxfId="1434" priority="1658"/>
  </conditionalFormatting>
  <conditionalFormatting sqref="C403">
    <cfRule type="duplicateValues" dxfId="1430" priority="1650"/>
    <cfRule type="duplicateValues" dxfId="1431" priority="1651"/>
    <cfRule type="duplicateValues" dxfId="1432" priority="1652"/>
    <cfRule type="duplicateValues" dxfId="1433" priority="1653"/>
  </conditionalFormatting>
  <conditionalFormatting sqref="C404">
    <cfRule type="duplicateValues" dxfId="1429" priority="1645"/>
    <cfRule type="duplicateValues" dxfId="1428" priority="1646"/>
    <cfRule type="duplicateValues" dxfId="1426" priority="1647"/>
    <cfRule type="duplicateValues" dxfId="1427" priority="1648"/>
  </conditionalFormatting>
  <conditionalFormatting sqref="C405:C407">
    <cfRule type="duplicateValues" dxfId="1422" priority="1639"/>
    <cfRule type="duplicateValues" dxfId="1425" priority="1641"/>
    <cfRule type="duplicateValues" dxfId="1423" priority="1642"/>
    <cfRule type="duplicateValues" dxfId="1424" priority="1643"/>
  </conditionalFormatting>
  <conditionalFormatting sqref="C407">
    <cfRule type="duplicateValues" dxfId="1421" priority="1640"/>
  </conditionalFormatting>
  <conditionalFormatting sqref="C408">
    <cfRule type="duplicateValues" dxfId="1419" priority="1633"/>
    <cfRule type="duplicateValues" dxfId="1420" priority="1634"/>
    <cfRule type="duplicateValues" dxfId="1418" priority="1635"/>
    <cfRule type="duplicateValues" dxfId="1417" priority="1636"/>
  </conditionalFormatting>
  <conditionalFormatting sqref="C409">
    <cfRule type="duplicateValues" dxfId="1413" priority="1628"/>
    <cfRule type="duplicateValues" dxfId="1414" priority="1629"/>
    <cfRule type="duplicateValues" dxfId="1415" priority="1630"/>
    <cfRule type="duplicateValues" dxfId="1416" priority="1631"/>
  </conditionalFormatting>
  <conditionalFormatting sqref="C410">
    <cfRule type="duplicateValues" dxfId="1404" priority="1617"/>
    <cfRule type="duplicateValues" dxfId="1411" priority="1618"/>
    <cfRule type="duplicateValues" dxfId="1408" priority="1619"/>
    <cfRule type="duplicateValues" dxfId="1409" priority="1620"/>
    <cfRule type="duplicateValues" dxfId="1412" priority="1621"/>
    <cfRule type="duplicateValues" dxfId="1405" priority="1622"/>
    <cfRule type="duplicateValues" dxfId="1403" priority="1623"/>
    <cfRule type="duplicateValues" dxfId="1407" priority="1624"/>
    <cfRule type="duplicateValues" dxfId="1406" priority="1625"/>
    <cfRule type="duplicateValues" dxfId="1410" priority="1626"/>
  </conditionalFormatting>
  <conditionalFormatting sqref="C411">
    <cfRule type="duplicateValues" dxfId="1400" priority="1611"/>
    <cfRule type="duplicateValues" dxfId="1402" priority="1613"/>
    <cfRule type="duplicateValues" dxfId="1401" priority="1614"/>
    <cfRule type="duplicateValues" dxfId="1399" priority="1615"/>
  </conditionalFormatting>
  <conditionalFormatting sqref="C412">
    <cfRule type="duplicateValues" dxfId="1396" priority="1606"/>
    <cfRule type="duplicateValues" dxfId="1397" priority="1608"/>
    <cfRule type="duplicateValues" dxfId="1398" priority="1609"/>
    <cfRule type="duplicateValues" dxfId="1395" priority="1610"/>
  </conditionalFormatting>
  <conditionalFormatting sqref="C413">
    <cfRule type="duplicateValues" dxfId="1391" priority="1601"/>
    <cfRule type="duplicateValues" dxfId="1392" priority="1603"/>
    <cfRule type="duplicateValues" dxfId="1393" priority="1604"/>
    <cfRule type="duplicateValues" dxfId="1394" priority="1605"/>
  </conditionalFormatting>
  <conditionalFormatting sqref="C414:C417">
    <cfRule type="duplicateValues" dxfId="1387" priority="1590"/>
    <cfRule type="duplicateValues" dxfId="1388" priority="1591"/>
    <cfRule type="duplicateValues" dxfId="1389" priority="1592"/>
    <cfRule type="duplicateValues" dxfId="1390" priority="1593"/>
    <cfRule type="duplicateValues" dxfId="1384" priority="1594"/>
    <cfRule type="duplicateValues" dxfId="1386" priority="1595"/>
    <cfRule type="duplicateValues" dxfId="1385" priority="1596"/>
  </conditionalFormatting>
  <conditionalFormatting sqref="C414:C418">
    <cfRule type="duplicateValues" dxfId="1380" priority="1588"/>
    <cfRule type="duplicateValues" dxfId="1381" priority="1598"/>
    <cfRule type="duplicateValues" dxfId="1383" priority="1599"/>
    <cfRule type="duplicateValues" dxfId="1382" priority="1600"/>
  </conditionalFormatting>
  <conditionalFormatting sqref="C418">
    <cfRule type="duplicateValues" dxfId="1379" priority="1597"/>
  </conditionalFormatting>
  <conditionalFormatting sqref="C419">
    <cfRule type="duplicateValues" dxfId="1377" priority="1582"/>
    <cfRule type="duplicateValues" dxfId="1376" priority="1583"/>
    <cfRule type="duplicateValues" dxfId="1378" priority="1584"/>
    <cfRule type="duplicateValues" dxfId="1375" priority="1585"/>
    <cfRule type="duplicateValues" dxfId="1374" priority="1586"/>
    <cfRule type="duplicateValues" dxfId="1373" priority="1587"/>
  </conditionalFormatting>
  <conditionalFormatting sqref="C420">
    <cfRule type="duplicateValues" dxfId="1370" priority="1568"/>
    <cfRule type="duplicateValues" dxfId="1361" priority="1570"/>
    <cfRule type="duplicateValues" dxfId="1362" priority="1571"/>
    <cfRule type="duplicateValues" dxfId="1363" priority="1572"/>
    <cfRule type="duplicateValues" dxfId="1364" priority="1573"/>
    <cfRule type="duplicateValues" dxfId="1365" priority="1574"/>
    <cfRule type="duplicateValues" dxfId="1366" priority="1575"/>
    <cfRule type="duplicateValues" dxfId="1367" priority="1576"/>
    <cfRule type="duplicateValues" dxfId="1368" priority="1577"/>
    <cfRule type="duplicateValues" dxfId="1369" priority="1578"/>
    <cfRule type="duplicateValues" dxfId="1371" priority="1579"/>
    <cfRule type="duplicateValues" dxfId="1372" priority="1580"/>
  </conditionalFormatting>
  <conditionalFormatting sqref="C421">
    <cfRule type="duplicateValues" dxfId="1359" priority="1489"/>
    <cfRule type="duplicateValues" dxfId="1358" priority="1490"/>
    <cfRule type="duplicateValues" dxfId="1357" priority="1491"/>
    <cfRule type="duplicateValues" dxfId="1360" priority="1492"/>
    <cfRule type="duplicateValues" dxfId="1355" priority="1493"/>
    <cfRule type="duplicateValues" dxfId="1356" priority="1494"/>
  </conditionalFormatting>
  <conditionalFormatting sqref="C422">
    <cfRule type="duplicateValues" dxfId="1354" priority="1484"/>
    <cfRule type="duplicateValues" dxfId="1352" priority="1485"/>
    <cfRule type="duplicateValues" dxfId="1351" priority="1486"/>
    <cfRule type="duplicateValues" dxfId="1353" priority="1487"/>
  </conditionalFormatting>
  <conditionalFormatting sqref="C423">
    <cfRule type="duplicateValues" dxfId="1345" priority="1478"/>
    <cfRule type="duplicateValues" dxfId="1346" priority="1479"/>
    <cfRule type="duplicateValues" dxfId="1347" priority="1480"/>
    <cfRule type="duplicateValues" dxfId="1348" priority="1481"/>
    <cfRule type="duplicateValues" dxfId="1349" priority="1482"/>
    <cfRule type="duplicateValues" dxfId="1350" priority="1483"/>
  </conditionalFormatting>
  <conditionalFormatting sqref="C424">
    <cfRule type="duplicateValues" dxfId="1339" priority="1468"/>
    <cfRule type="duplicateValues" dxfId="1338" priority="1469"/>
    <cfRule type="duplicateValues" dxfId="1337" priority="1470"/>
    <cfRule type="duplicateValues" dxfId="1336" priority="1471"/>
    <cfRule type="duplicateValues" dxfId="1344" priority="1472"/>
    <cfRule type="duplicateValues" dxfId="1343" priority="1473"/>
    <cfRule type="duplicateValues" dxfId="1342" priority="1474"/>
    <cfRule type="duplicateValues" dxfId="1341" priority="1475"/>
    <cfRule type="duplicateValues" dxfId="1340" priority="1476"/>
  </conditionalFormatting>
  <conditionalFormatting sqref="C425">
    <cfRule type="duplicateValues" dxfId="1335" priority="1459"/>
    <cfRule type="duplicateValues" dxfId="1328" priority="1460"/>
    <cfRule type="duplicateValues" dxfId="1329" priority="1461"/>
    <cfRule type="duplicateValues" dxfId="1330" priority="1462"/>
    <cfRule type="duplicateValues" dxfId="1331" priority="1463"/>
    <cfRule type="duplicateValues" dxfId="1334" priority="1464"/>
    <cfRule type="duplicateValues" dxfId="1332" priority="1465"/>
    <cfRule type="duplicateValues" dxfId="1333" priority="1466"/>
  </conditionalFormatting>
  <conditionalFormatting sqref="C426">
    <cfRule type="duplicateValues" dxfId="1327" priority="1453"/>
    <cfRule type="duplicateValues" dxfId="1324" priority="1455"/>
    <cfRule type="duplicateValues" dxfId="1325" priority="1456"/>
    <cfRule type="duplicateValues" dxfId="1326" priority="1457"/>
  </conditionalFormatting>
  <conditionalFormatting sqref="C427">
    <cfRule type="duplicateValues" dxfId="1321" priority="1449"/>
    <cfRule type="duplicateValues" dxfId="1320" priority="1450"/>
    <cfRule type="duplicateValues" dxfId="1323" priority="1451"/>
    <cfRule type="duplicateValues" dxfId="1322" priority="1452"/>
  </conditionalFormatting>
  <conditionalFormatting sqref="C428">
    <cfRule type="duplicateValues" dxfId="1311" priority="1438"/>
    <cfRule type="duplicateValues" dxfId="1319" priority="1440"/>
    <cfRule type="duplicateValues" dxfId="1313" priority="1441"/>
    <cfRule type="duplicateValues" dxfId="1312" priority="1442"/>
    <cfRule type="duplicateValues" dxfId="1318" priority="1443"/>
    <cfRule type="duplicateValues" dxfId="1317" priority="1444"/>
    <cfRule type="duplicateValues" dxfId="1316" priority="1445"/>
    <cfRule type="duplicateValues" dxfId="1315" priority="1446"/>
    <cfRule type="duplicateValues" dxfId="1314" priority="1447"/>
  </conditionalFormatting>
  <conditionalFormatting sqref="C429">
    <cfRule type="duplicateValues" dxfId="1308" priority="1546"/>
    <cfRule type="duplicateValues" dxfId="1309" priority="1547"/>
    <cfRule type="duplicateValues" dxfId="1310" priority="1548"/>
  </conditionalFormatting>
  <conditionalFormatting sqref="C429:C431">
    <cfRule type="duplicateValues" dxfId="1304" priority="1549"/>
    <cfRule type="duplicateValues" dxfId="1306" priority="1550"/>
    <cfRule type="duplicateValues" dxfId="1305" priority="1551"/>
    <cfRule type="duplicateValues" dxfId="1307" priority="1552"/>
  </conditionalFormatting>
  <conditionalFormatting sqref="C430">
    <cfRule type="duplicateValues" dxfId="1302" priority="1542"/>
    <cfRule type="duplicateValues" dxfId="1303" priority="1543"/>
    <cfRule type="duplicateValues" dxfId="1301" priority="1544"/>
  </conditionalFormatting>
  <conditionalFormatting sqref="C431">
    <cfRule type="duplicateValues" dxfId="1298" priority="1539"/>
    <cfRule type="duplicateValues" dxfId="1299" priority="1540"/>
    <cfRule type="duplicateValues" dxfId="1300" priority="1541"/>
  </conditionalFormatting>
  <conditionalFormatting sqref="C432">
    <cfRule type="duplicateValues" dxfId="1294" priority="1533"/>
    <cfRule type="duplicateValues" dxfId="1297" priority="1535"/>
    <cfRule type="duplicateValues" dxfId="1296" priority="1536"/>
    <cfRule type="duplicateValues" dxfId="1295" priority="1537"/>
  </conditionalFormatting>
  <conditionalFormatting sqref="C433">
    <cfRule type="duplicateValues" dxfId="1291" priority="1530"/>
    <cfRule type="duplicateValues" dxfId="1293" priority="1531"/>
    <cfRule type="duplicateValues" dxfId="1292" priority="1532"/>
  </conditionalFormatting>
  <conditionalFormatting sqref="C434">
    <cfRule type="duplicateValues" dxfId="1287" priority="1524"/>
    <cfRule type="duplicateValues" dxfId="1290" priority="1526"/>
    <cfRule type="duplicateValues" dxfId="1289" priority="1527"/>
    <cfRule type="duplicateValues" dxfId="1288" priority="1528"/>
  </conditionalFormatting>
  <conditionalFormatting sqref="C435">
    <cfRule type="duplicateValues" dxfId="1281" priority="1562"/>
    <cfRule type="duplicateValues" dxfId="1282" priority="1563"/>
    <cfRule type="duplicateValues" dxfId="1283" priority="1564"/>
    <cfRule type="duplicateValues" dxfId="1284" priority="1565"/>
    <cfRule type="duplicateValues" dxfId="1285" priority="1566"/>
    <cfRule type="duplicateValues" dxfId="1286" priority="1567"/>
  </conditionalFormatting>
  <conditionalFormatting sqref="C436">
    <cfRule type="duplicateValues" dxfId="1274" priority="1553"/>
    <cfRule type="duplicateValues" dxfId="1275" priority="1554"/>
    <cfRule type="duplicateValues" dxfId="1276" priority="1555"/>
    <cfRule type="duplicateValues" dxfId="1279" priority="1556"/>
    <cfRule type="duplicateValues" dxfId="1280" priority="1557"/>
    <cfRule type="duplicateValues" dxfId="1273" priority="1558"/>
    <cfRule type="duplicateValues" dxfId="1277" priority="1559"/>
    <cfRule type="duplicateValues" dxfId="1278" priority="1560"/>
  </conditionalFormatting>
  <conditionalFormatting sqref="C437">
    <cfRule type="duplicateValues" dxfId="1270" priority="1521"/>
    <cfRule type="duplicateValues" dxfId="1271" priority="1522"/>
    <cfRule type="duplicateValues" dxfId="1272" priority="1523"/>
  </conditionalFormatting>
  <conditionalFormatting sqref="C437:C438 C432:C434">
    <cfRule type="duplicateValues" dxfId="1269" priority="2993"/>
  </conditionalFormatting>
  <conditionalFormatting sqref="C438">
    <cfRule type="duplicateValues" dxfId="1268" priority="1517"/>
    <cfRule type="duplicateValues" dxfId="1267" priority="1518"/>
    <cfRule type="duplicateValues" dxfId="1266" priority="1519"/>
  </conditionalFormatting>
  <conditionalFormatting sqref="C439">
    <cfRule type="duplicateValues" dxfId="1265" priority="1509"/>
    <cfRule type="duplicateValues" dxfId="1264" priority="1511"/>
    <cfRule type="duplicateValues" dxfId="1263" priority="1512"/>
    <cfRule type="duplicateValues" dxfId="1261" priority="1513"/>
    <cfRule type="duplicateValues" dxfId="1260" priority="1514"/>
    <cfRule type="duplicateValues" dxfId="1262" priority="1515"/>
  </conditionalFormatting>
  <conditionalFormatting sqref="C441">
    <cfRule type="duplicateValues" dxfId="1259" priority="1496"/>
    <cfRule type="duplicateValues" dxfId="1258" priority="1497"/>
    <cfRule type="duplicateValues" dxfId="1257" priority="1498"/>
    <cfRule type="duplicateValues" dxfId="1256" priority="1499"/>
    <cfRule type="duplicateValues" dxfId="1255" priority="1500"/>
    <cfRule type="duplicateValues" dxfId="1254" priority="1501"/>
  </conditionalFormatting>
  <conditionalFormatting sqref="C442">
    <cfRule type="duplicateValues" dxfId="1253" priority="1503"/>
    <cfRule type="duplicateValues" dxfId="1248" priority="1504"/>
    <cfRule type="duplicateValues" dxfId="1249" priority="1505"/>
    <cfRule type="duplicateValues" dxfId="1250" priority="1506"/>
    <cfRule type="duplicateValues" dxfId="1251" priority="1507"/>
    <cfRule type="duplicateValues" dxfId="1252" priority="1508"/>
  </conditionalFormatting>
  <conditionalFormatting sqref="C443">
    <cfRule type="duplicateValues" dxfId="1241" priority="1429"/>
    <cfRule type="duplicateValues" dxfId="1243" priority="1430"/>
    <cfRule type="duplicateValues" dxfId="1240" priority="1431"/>
    <cfRule type="duplicateValues" dxfId="1247" priority="1432"/>
    <cfRule type="duplicateValues" dxfId="1245" priority="1433"/>
    <cfRule type="duplicateValues" dxfId="1244" priority="1434"/>
    <cfRule type="duplicateValues" dxfId="1242" priority="1435"/>
    <cfRule type="duplicateValues" dxfId="1246" priority="1436"/>
  </conditionalFormatting>
  <conditionalFormatting sqref="C444">
    <cfRule type="duplicateValues" dxfId="1232" priority="2056"/>
    <cfRule type="duplicateValues" dxfId="1229" priority="2057"/>
    <cfRule type="duplicateValues" dxfId="1230" priority="2058"/>
    <cfRule type="duplicateValues" dxfId="1231" priority="2059"/>
    <cfRule type="duplicateValues" dxfId="1234" priority="2060"/>
    <cfRule type="duplicateValues" dxfId="1235" priority="2061"/>
    <cfRule type="duplicateValues" dxfId="1236" priority="2062"/>
    <cfRule type="duplicateValues" dxfId="1237" priority="2063"/>
    <cfRule type="duplicateValues" dxfId="1238" priority="2064"/>
    <cfRule type="duplicateValues" dxfId="1239" priority="2065"/>
    <cfRule type="duplicateValues" dxfId="1233" priority="2066"/>
  </conditionalFormatting>
  <conditionalFormatting sqref="C445">
    <cfRule type="duplicateValues" dxfId="1222" priority="1987"/>
    <cfRule type="duplicateValues" dxfId="1221" priority="1988"/>
    <cfRule type="duplicateValues" dxfId="1220" priority="1989"/>
    <cfRule type="duplicateValues" dxfId="1219" priority="1991"/>
    <cfRule type="duplicateValues" dxfId="1227" priority="1992"/>
    <cfRule type="duplicateValues" dxfId="1223" priority="1993"/>
    <cfRule type="duplicateValues" dxfId="1226" priority="1994"/>
    <cfRule type="duplicateValues" dxfId="1228" priority="1995"/>
    <cfRule type="duplicateValues" dxfId="1225" priority="1996"/>
    <cfRule type="duplicateValues" dxfId="1224" priority="1997"/>
  </conditionalFormatting>
  <conditionalFormatting sqref="C446">
    <cfRule type="duplicateValues" dxfId="1212" priority="2041"/>
    <cfRule type="duplicateValues" dxfId="1211" priority="2044"/>
    <cfRule type="duplicateValues" dxfId="1214" priority="2045"/>
    <cfRule type="duplicateValues" dxfId="1218" priority="2046"/>
    <cfRule type="duplicateValues" dxfId="1210" priority="2047"/>
    <cfRule type="duplicateValues" dxfId="1217" priority="2048"/>
    <cfRule type="duplicateValues" dxfId="1208" priority="2049"/>
    <cfRule type="duplicateValues" dxfId="1209" priority="2050"/>
    <cfRule type="duplicateValues" dxfId="1213" priority="2051"/>
    <cfRule type="duplicateValues" dxfId="1207" priority="2052"/>
    <cfRule type="duplicateValues" dxfId="1216" priority="2053"/>
    <cfRule type="duplicateValues" dxfId="1215" priority="2054"/>
  </conditionalFormatting>
  <conditionalFormatting sqref="C447">
    <cfRule type="duplicateValues" dxfId="1197" priority="2029"/>
    <cfRule type="duplicateValues" dxfId="1196" priority="2031"/>
    <cfRule type="duplicateValues" dxfId="1198" priority="2032"/>
    <cfRule type="duplicateValues" dxfId="1199" priority="2033"/>
    <cfRule type="duplicateValues" dxfId="1200" priority="2034"/>
    <cfRule type="duplicateValues" dxfId="1201" priority="2035"/>
    <cfRule type="duplicateValues" dxfId="1202" priority="2036"/>
    <cfRule type="duplicateValues" dxfId="1203" priority="2037"/>
    <cfRule type="duplicateValues" dxfId="1204" priority="2038"/>
    <cfRule type="duplicateValues" dxfId="1205" priority="2039"/>
    <cfRule type="duplicateValues" dxfId="1206" priority="2040"/>
  </conditionalFormatting>
  <conditionalFormatting sqref="C448">
    <cfRule type="duplicateValues" dxfId="1194" priority="2026"/>
    <cfRule type="duplicateValues" dxfId="1195" priority="2028"/>
  </conditionalFormatting>
  <conditionalFormatting sqref="C449">
    <cfRule type="duplicateValues" dxfId="1191" priority="2018"/>
    <cfRule type="duplicateValues" dxfId="1192" priority="2020"/>
    <cfRule type="duplicateValues" dxfId="1193" priority="2021"/>
    <cfRule type="duplicateValues" dxfId="1187" priority="2022"/>
    <cfRule type="duplicateValues" dxfId="1188" priority="2023"/>
    <cfRule type="duplicateValues" dxfId="1189" priority="2024"/>
    <cfRule type="duplicateValues" dxfId="1190" priority="2025"/>
  </conditionalFormatting>
  <conditionalFormatting sqref="C450">
    <cfRule type="duplicateValues" dxfId="1186" priority="2996"/>
    <cfRule type="duplicateValues" dxfId="1185" priority="2997"/>
  </conditionalFormatting>
  <conditionalFormatting sqref="C451">
    <cfRule type="duplicateValues" dxfId="1183" priority="1413"/>
    <cfRule type="duplicateValues" dxfId="1182" priority="1414"/>
    <cfRule type="duplicateValues" dxfId="1181" priority="1415"/>
    <cfRule type="duplicateValues" dxfId="1180" priority="1416"/>
    <cfRule type="duplicateValues" dxfId="1184" priority="1417"/>
  </conditionalFormatting>
  <conditionalFormatting sqref="C451:C453">
    <cfRule type="duplicateValues" dxfId="1179" priority="1418"/>
    <cfRule type="duplicateValues" dxfId="1178" priority="1419"/>
    <cfRule type="duplicateValues" dxfId="1177" priority="1420"/>
    <cfRule type="duplicateValues" dxfId="1176" priority="1421"/>
    <cfRule type="duplicateValues" dxfId="1175" priority="1422"/>
    <cfRule type="duplicateValues" dxfId="1174" priority="1423"/>
    <cfRule type="duplicateValues" dxfId="1173" priority="1424"/>
    <cfRule type="duplicateValues" dxfId="1172" priority="1425"/>
  </conditionalFormatting>
  <conditionalFormatting sqref="C452">
    <cfRule type="duplicateValues" dxfId="1171" priority="1407"/>
    <cfRule type="duplicateValues" dxfId="1170" priority="1408"/>
    <cfRule type="duplicateValues" dxfId="1169" priority="1409"/>
    <cfRule type="duplicateValues" dxfId="1168" priority="1410"/>
    <cfRule type="duplicateValues" dxfId="1167" priority="1411"/>
  </conditionalFormatting>
  <conditionalFormatting sqref="C453">
    <cfRule type="duplicateValues" dxfId="1162" priority="1401"/>
    <cfRule type="duplicateValues" dxfId="1164" priority="1402"/>
    <cfRule type="duplicateValues" dxfId="1163" priority="1403"/>
    <cfRule type="duplicateValues" dxfId="1165" priority="1404"/>
    <cfRule type="duplicateValues" dxfId="1166" priority="1405"/>
  </conditionalFormatting>
  <conditionalFormatting sqref="C455">
    <cfRule type="duplicateValues" dxfId="1161" priority="1396"/>
    <cfRule type="duplicateValues" dxfId="1158" priority="1397"/>
    <cfRule type="duplicateValues" dxfId="1159" priority="1398"/>
    <cfRule type="duplicateValues" dxfId="1160" priority="1399"/>
  </conditionalFormatting>
  <conditionalFormatting sqref="C457">
    <cfRule type="duplicateValues" dxfId="1157" priority="1377"/>
    <cfRule type="duplicateValues" dxfId="1149" priority="1379"/>
    <cfRule type="duplicateValues" dxfId="1148" priority="1380"/>
    <cfRule type="duplicateValues" dxfId="1147" priority="1381"/>
    <cfRule type="duplicateValues" dxfId="1150" priority="1382"/>
    <cfRule type="duplicateValues" dxfId="1151" priority="1383"/>
    <cfRule type="duplicateValues" dxfId="1152" priority="1384"/>
    <cfRule type="duplicateValues" dxfId="1153" priority="1385"/>
    <cfRule type="duplicateValues" dxfId="1154" priority="1386"/>
    <cfRule type="duplicateValues" dxfId="1155" priority="1387"/>
    <cfRule type="duplicateValues" dxfId="1156" priority="1388"/>
  </conditionalFormatting>
  <conditionalFormatting sqref="C458">
    <cfRule type="duplicateValues" dxfId="1146" priority="1366"/>
    <cfRule type="duplicateValues" dxfId="1137" priority="1367"/>
    <cfRule type="duplicateValues" dxfId="1138" priority="1368"/>
    <cfRule type="duplicateValues" dxfId="1139" priority="1370"/>
    <cfRule type="duplicateValues" dxfId="1145" priority="1371"/>
    <cfRule type="duplicateValues" dxfId="1144" priority="1372"/>
    <cfRule type="duplicateValues" dxfId="1143" priority="1373"/>
    <cfRule type="duplicateValues" dxfId="1142" priority="1374"/>
    <cfRule type="duplicateValues" dxfId="1141" priority="1375"/>
    <cfRule type="duplicateValues" dxfId="1140" priority="1376"/>
  </conditionalFormatting>
  <conditionalFormatting sqref="C459">
    <cfRule type="duplicateValues" dxfId="1128" priority="1361"/>
    <cfRule type="duplicateValues" dxfId="1133" priority="1362"/>
    <cfRule type="duplicateValues" dxfId="1134" priority="1363"/>
    <cfRule type="duplicateValues" dxfId="1135" priority="1364"/>
    <cfRule type="duplicateValues" dxfId="1136" priority="1365"/>
    <cfRule type="duplicateValues" dxfId="1129" priority="2998"/>
    <cfRule type="duplicateValues" dxfId="1130" priority="2999"/>
    <cfRule type="duplicateValues" dxfId="1131" priority="3000"/>
    <cfRule type="duplicateValues" dxfId="1132" priority="3001"/>
  </conditionalFormatting>
  <conditionalFormatting sqref="C460">
    <cfRule type="duplicateValues" dxfId="1124" priority="1350"/>
    <cfRule type="duplicateValues" dxfId="1125" priority="1351"/>
    <cfRule type="duplicateValues" dxfId="1126" priority="1352"/>
    <cfRule type="duplicateValues" dxfId="1127" priority="1353"/>
    <cfRule type="duplicateValues" dxfId="1118" priority="1354"/>
    <cfRule type="duplicateValues" dxfId="1119" priority="1355"/>
    <cfRule type="duplicateValues" dxfId="1123" priority="1356"/>
    <cfRule type="duplicateValues" dxfId="1120" priority="1357"/>
    <cfRule type="duplicateValues" dxfId="1121" priority="1358"/>
    <cfRule type="duplicateValues" dxfId="1122" priority="1359"/>
  </conditionalFormatting>
  <conditionalFormatting sqref="C461">
    <cfRule type="duplicateValues" dxfId="1112" priority="1336"/>
    <cfRule type="duplicateValues" dxfId="1106" priority="1337"/>
    <cfRule type="duplicateValues" dxfId="1113" priority="1338"/>
    <cfRule type="duplicateValues" dxfId="1114" priority="1339"/>
    <cfRule type="duplicateValues" dxfId="1115" priority="1340"/>
    <cfRule type="duplicateValues" dxfId="1116" priority="1341"/>
    <cfRule type="duplicateValues" dxfId="1110" priority="1342"/>
    <cfRule type="duplicateValues" dxfId="1117" priority="1343"/>
    <cfRule type="duplicateValues" dxfId="1107" priority="1344"/>
    <cfRule type="duplicateValues" dxfId="1108" priority="1345"/>
    <cfRule type="duplicateValues" dxfId="1111" priority="1346"/>
    <cfRule type="duplicateValues" dxfId="1109" priority="1347"/>
  </conditionalFormatting>
  <conditionalFormatting sqref="C462">
    <cfRule type="duplicateValues" dxfId="1099" priority="1325"/>
    <cfRule type="duplicateValues" dxfId="1098" priority="1326"/>
    <cfRule type="duplicateValues" dxfId="1097" priority="1327"/>
    <cfRule type="duplicateValues" dxfId="1102" priority="1328"/>
    <cfRule type="duplicateValues" dxfId="1101" priority="1329"/>
    <cfRule type="duplicateValues" dxfId="1100" priority="1330"/>
    <cfRule type="duplicateValues" dxfId="1105" priority="1331"/>
    <cfRule type="duplicateValues" dxfId="1104" priority="1332"/>
    <cfRule type="duplicateValues" dxfId="1103" priority="1333"/>
  </conditionalFormatting>
  <conditionalFormatting sqref="C463">
    <cfRule type="duplicateValues" dxfId="1095" priority="1390"/>
    <cfRule type="duplicateValues" dxfId="1094" priority="1391"/>
    <cfRule type="duplicateValues" dxfId="1092" priority="1392"/>
    <cfRule type="duplicateValues" dxfId="1093" priority="1393"/>
    <cfRule type="duplicateValues" dxfId="1096" priority="1394"/>
  </conditionalFormatting>
  <conditionalFormatting sqref="C464:C466">
    <cfRule type="duplicateValues" dxfId="1082" priority="1313"/>
    <cfRule type="duplicateValues" dxfId="1083" priority="1314"/>
    <cfRule type="duplicateValues" dxfId="1084" priority="1315"/>
    <cfRule type="duplicateValues" dxfId="1085" priority="1316"/>
    <cfRule type="duplicateValues" dxfId="1086" priority="1317"/>
    <cfRule type="duplicateValues" dxfId="1091" priority="1318"/>
    <cfRule type="duplicateValues" dxfId="1087" priority="1319"/>
    <cfRule type="duplicateValues" dxfId="1088" priority="1320"/>
    <cfRule type="duplicateValues" dxfId="1089" priority="1321"/>
    <cfRule type="duplicateValues" dxfId="1090" priority="1322"/>
  </conditionalFormatting>
  <conditionalFormatting sqref="C476">
    <cfRule type="duplicateValues" dxfId="1079" priority="610"/>
    <cfRule type="duplicateValues" dxfId="1080" priority="611"/>
    <cfRule type="duplicateValues" dxfId="1081" priority="612"/>
  </conditionalFormatting>
  <conditionalFormatting sqref="C494 C456">
    <cfRule type="duplicateValues" dxfId="1078" priority="3002"/>
    <cfRule type="duplicateValues" dxfId="1075" priority="3003"/>
    <cfRule type="duplicateValues" dxfId="1076" priority="3004"/>
    <cfRule type="duplicateValues" dxfId="1077" priority="3005"/>
  </conditionalFormatting>
  <conditionalFormatting sqref="C494">
    <cfRule type="duplicateValues" dxfId="1071" priority="3006"/>
    <cfRule type="duplicateValues" dxfId="1072" priority="3007"/>
    <cfRule type="duplicateValues" dxfId="1073" priority="3008"/>
    <cfRule type="duplicateValues" dxfId="1074" priority="3009"/>
  </conditionalFormatting>
  <conditionalFormatting sqref="C495">
    <cfRule type="duplicateValues" dxfId="1064" priority="1165"/>
    <cfRule type="duplicateValues" dxfId="1063" priority="1168"/>
    <cfRule type="duplicateValues" dxfId="1062" priority="1169"/>
    <cfRule type="duplicateValues" dxfId="1060" priority="1170"/>
    <cfRule type="duplicateValues" dxfId="1068" priority="1171"/>
    <cfRule type="duplicateValues" dxfId="1067" priority="1172"/>
    <cfRule type="duplicateValues" dxfId="1066" priority="1173"/>
    <cfRule type="duplicateValues" dxfId="1061" priority="1174"/>
    <cfRule type="duplicateValues" dxfId="1070" priority="1175"/>
    <cfRule type="duplicateValues" dxfId="1065" priority="1176"/>
    <cfRule type="duplicateValues" dxfId="1069" priority="1177"/>
    <cfRule type="duplicateValues" dxfId="1059" priority="1178"/>
  </conditionalFormatting>
  <conditionalFormatting sqref="C496">
    <cfRule type="duplicateValues" dxfId="1057" priority="1302"/>
    <cfRule type="duplicateValues" dxfId="1056" priority="1303"/>
    <cfRule type="duplicateValues" dxfId="1055" priority="1304"/>
    <cfRule type="duplicateValues" dxfId="1054" priority="1305"/>
    <cfRule type="duplicateValues" dxfId="1058" priority="1306"/>
  </conditionalFormatting>
  <conditionalFormatting sqref="C496:C498">
    <cfRule type="duplicateValues" dxfId="1053" priority="1287"/>
    <cfRule type="duplicateValues" dxfId="1052" priority="1307"/>
    <cfRule type="duplicateValues" dxfId="1047" priority="1308"/>
    <cfRule type="duplicateValues" dxfId="1048" priority="1309"/>
    <cfRule type="duplicateValues" dxfId="1051" priority="1310"/>
    <cfRule type="duplicateValues" dxfId="1050" priority="1311"/>
    <cfRule type="duplicateValues" dxfId="1049" priority="1312"/>
  </conditionalFormatting>
  <conditionalFormatting sqref="C497">
    <cfRule type="duplicateValues" dxfId="1045" priority="1296"/>
    <cfRule type="duplicateValues" dxfId="1042" priority="1297"/>
    <cfRule type="duplicateValues" dxfId="1046" priority="1298"/>
    <cfRule type="duplicateValues" dxfId="1043" priority="1299"/>
    <cfRule type="duplicateValues" dxfId="1044" priority="1300"/>
  </conditionalFormatting>
  <conditionalFormatting sqref="C498">
    <cfRule type="duplicateValues" dxfId="1039" priority="1290"/>
    <cfRule type="duplicateValues" dxfId="1040" priority="1291"/>
    <cfRule type="duplicateValues" dxfId="1041" priority="1292"/>
    <cfRule type="duplicateValues" dxfId="1037" priority="1293"/>
    <cfRule type="duplicateValues" dxfId="1038" priority="1294"/>
  </conditionalFormatting>
  <conditionalFormatting sqref="C499">
    <cfRule type="duplicateValues" dxfId="1035" priority="607"/>
    <cfRule type="duplicateValues" dxfId="1034" priority="608"/>
    <cfRule type="duplicateValues" dxfId="1036" priority="609"/>
  </conditionalFormatting>
  <conditionalFormatting sqref="C500">
    <cfRule type="duplicateValues" dxfId="1024" priority="1180"/>
    <cfRule type="duplicateValues" dxfId="1023" priority="1181"/>
    <cfRule type="duplicateValues" dxfId="1022" priority="1182"/>
    <cfRule type="duplicateValues" dxfId="1021" priority="1183"/>
    <cfRule type="duplicateValues" dxfId="1020" priority="1184"/>
    <cfRule type="duplicateValues" dxfId="1033" priority="1185"/>
    <cfRule type="duplicateValues" dxfId="1032" priority="1186"/>
    <cfRule type="duplicateValues" dxfId="1031" priority="1187"/>
    <cfRule type="duplicateValues" dxfId="1030" priority="1188"/>
    <cfRule type="duplicateValues" dxfId="1029" priority="1189"/>
    <cfRule type="duplicateValues" dxfId="1025" priority="1190"/>
    <cfRule type="duplicateValues" dxfId="1028" priority="1191"/>
    <cfRule type="duplicateValues" dxfId="1027" priority="1192"/>
    <cfRule type="duplicateValues" dxfId="1026" priority="1193"/>
  </conditionalFormatting>
  <conditionalFormatting sqref="C501">
    <cfRule type="duplicateValues" dxfId="1018" priority="1273"/>
    <cfRule type="duplicateValues" dxfId="1019" priority="1274"/>
    <cfRule type="duplicateValues" dxfId="1017" priority="1275"/>
    <cfRule type="duplicateValues" dxfId="1015" priority="1276"/>
    <cfRule type="duplicateValues" dxfId="1016" priority="1277"/>
  </conditionalFormatting>
  <conditionalFormatting sqref="C501:C508">
    <cfRule type="duplicateValues" dxfId="1014" priority="1278"/>
    <cfRule type="duplicateValues" dxfId="1010" priority="1279"/>
    <cfRule type="duplicateValues" dxfId="1008" priority="1280"/>
    <cfRule type="duplicateValues" dxfId="1011" priority="1281"/>
    <cfRule type="duplicateValues" dxfId="1012" priority="1282"/>
    <cfRule type="duplicateValues" dxfId="1013" priority="1283"/>
    <cfRule type="duplicateValues" dxfId="1009" priority="1284"/>
  </conditionalFormatting>
  <conditionalFormatting sqref="C502">
    <cfRule type="duplicateValues" dxfId="1003" priority="1267"/>
    <cfRule type="duplicateValues" dxfId="1004" priority="1268"/>
    <cfRule type="duplicateValues" dxfId="1005" priority="1269"/>
    <cfRule type="duplicateValues" dxfId="1006" priority="1270"/>
    <cfRule type="duplicateValues" dxfId="1007" priority="1271"/>
  </conditionalFormatting>
  <conditionalFormatting sqref="C503">
    <cfRule type="duplicateValues" dxfId="998" priority="1261"/>
    <cfRule type="duplicateValues" dxfId="999" priority="1262"/>
    <cfRule type="duplicateValues" dxfId="1002" priority="1263"/>
    <cfRule type="duplicateValues" dxfId="1001" priority="1264"/>
    <cfRule type="duplicateValues" dxfId="1000" priority="1265"/>
  </conditionalFormatting>
  <conditionalFormatting sqref="C504">
    <cfRule type="duplicateValues" dxfId="993" priority="1255"/>
    <cfRule type="duplicateValues" dxfId="994" priority="1256"/>
    <cfRule type="duplicateValues" dxfId="997" priority="1257"/>
    <cfRule type="duplicateValues" dxfId="995" priority="1258"/>
    <cfRule type="duplicateValues" dxfId="996" priority="1259"/>
  </conditionalFormatting>
  <conditionalFormatting sqref="C505">
    <cfRule type="duplicateValues" dxfId="988" priority="1249"/>
    <cfRule type="duplicateValues" dxfId="992" priority="1250"/>
    <cfRule type="duplicateValues" dxfId="991" priority="1251"/>
    <cfRule type="duplicateValues" dxfId="989" priority="1252"/>
    <cfRule type="duplicateValues" dxfId="990" priority="1253"/>
  </conditionalFormatting>
  <conditionalFormatting sqref="C506">
    <cfRule type="duplicateValues" dxfId="987" priority="1243"/>
    <cfRule type="duplicateValues" dxfId="986" priority="1244"/>
    <cfRule type="duplicateValues" dxfId="985" priority="1245"/>
    <cfRule type="duplicateValues" dxfId="984" priority="1246"/>
    <cfRule type="duplicateValues" dxfId="983" priority="1247"/>
  </conditionalFormatting>
  <conditionalFormatting sqref="C507">
    <cfRule type="duplicateValues" dxfId="980" priority="1237"/>
    <cfRule type="duplicateValues" dxfId="978" priority="1238"/>
    <cfRule type="duplicateValues" dxfId="981" priority="1239"/>
    <cfRule type="duplicateValues" dxfId="982" priority="1240"/>
    <cfRule type="duplicateValues" dxfId="979" priority="1241"/>
  </conditionalFormatting>
  <conditionalFormatting sqref="C508">
    <cfRule type="duplicateValues" dxfId="977" priority="1231"/>
    <cfRule type="duplicateValues" dxfId="973" priority="1232"/>
    <cfRule type="duplicateValues" dxfId="974" priority="1233"/>
    <cfRule type="duplicateValues" dxfId="975" priority="1234"/>
    <cfRule type="duplicateValues" dxfId="976" priority="1235"/>
  </conditionalFormatting>
  <conditionalFormatting sqref="C509">
    <cfRule type="duplicateValues" dxfId="972" priority="1224"/>
    <cfRule type="duplicateValues" dxfId="971" priority="1226"/>
    <cfRule type="duplicateValues" dxfId="970" priority="1227"/>
    <cfRule type="duplicateValues" dxfId="969" priority="1228"/>
  </conditionalFormatting>
  <conditionalFormatting sqref="C510">
    <cfRule type="duplicateValues" dxfId="967" priority="1220"/>
    <cfRule type="duplicateValues" dxfId="968" priority="1223"/>
  </conditionalFormatting>
  <conditionalFormatting sqref="C510:C511">
    <cfRule type="duplicateValues" dxfId="960" priority="1212"/>
    <cfRule type="duplicateValues" dxfId="961" priority="1214"/>
    <cfRule type="duplicateValues" dxfId="962" priority="1215"/>
    <cfRule type="duplicateValues" dxfId="963" priority="1216"/>
    <cfRule type="duplicateValues" dxfId="965" priority="1217"/>
    <cfRule type="duplicateValues" dxfId="964" priority="1218"/>
    <cfRule type="duplicateValues" dxfId="959" priority="1219"/>
    <cfRule type="duplicateValues" dxfId="966" priority="1221"/>
    <cfRule type="duplicateValues" dxfId="958" priority="1222"/>
  </conditionalFormatting>
  <conditionalFormatting sqref="C512">
    <cfRule type="duplicateValues" dxfId="956" priority="1208"/>
    <cfRule type="duplicateValues" dxfId="955" priority="1210"/>
    <cfRule type="duplicateValues" dxfId="957" priority="1211"/>
  </conditionalFormatting>
  <conditionalFormatting sqref="C513">
    <cfRule type="duplicateValues" dxfId="946" priority="1196"/>
    <cfRule type="duplicateValues" dxfId="947" priority="1198"/>
    <cfRule type="duplicateValues" dxfId="948" priority="1199"/>
    <cfRule type="duplicateValues" dxfId="949" priority="1200"/>
    <cfRule type="duplicateValues" dxfId="950" priority="1201"/>
    <cfRule type="duplicateValues" dxfId="951" priority="1202"/>
    <cfRule type="duplicateValues" dxfId="952" priority="1203"/>
    <cfRule type="duplicateValues" dxfId="953" priority="1204"/>
    <cfRule type="duplicateValues" dxfId="954" priority="1205"/>
    <cfRule type="duplicateValues" dxfId="945" priority="1206"/>
    <cfRule type="duplicateValues" dxfId="944" priority="1207"/>
  </conditionalFormatting>
  <conditionalFormatting sqref="C514">
    <cfRule type="duplicateValues" dxfId="943" priority="1194"/>
  </conditionalFormatting>
  <conditionalFormatting sqref="C515">
    <cfRule type="duplicateValues" dxfId="932" priority="1152"/>
    <cfRule type="duplicateValues" dxfId="933" priority="1155"/>
    <cfRule type="duplicateValues" dxfId="934" priority="1156"/>
    <cfRule type="duplicateValues" dxfId="935" priority="1157"/>
    <cfRule type="duplicateValues" dxfId="936" priority="1158"/>
    <cfRule type="duplicateValues" dxfId="937" priority="1159"/>
    <cfRule type="duplicateValues" dxfId="938" priority="1160"/>
    <cfRule type="duplicateValues" dxfId="939" priority="1161"/>
    <cfRule type="duplicateValues" dxfId="940" priority="1162"/>
    <cfRule type="duplicateValues" dxfId="941" priority="1163"/>
    <cfRule type="duplicateValues" dxfId="942" priority="1164"/>
  </conditionalFormatting>
  <conditionalFormatting sqref="C516">
    <cfRule type="duplicateValues" dxfId="923" priority="1142"/>
    <cfRule type="duplicateValues" dxfId="924" priority="1143"/>
    <cfRule type="duplicateValues" dxfId="922" priority="1144"/>
    <cfRule type="duplicateValues" dxfId="925" priority="1145"/>
    <cfRule type="duplicateValues" dxfId="926" priority="1146"/>
    <cfRule type="duplicateValues" dxfId="927" priority="1147"/>
    <cfRule type="duplicateValues" dxfId="928" priority="1148"/>
    <cfRule type="duplicateValues" dxfId="929" priority="1149"/>
    <cfRule type="duplicateValues" dxfId="930" priority="1150"/>
    <cfRule type="duplicateValues" dxfId="931" priority="1151"/>
  </conditionalFormatting>
  <conditionalFormatting sqref="C518">
    <cfRule type="duplicateValues" dxfId="921" priority="1124"/>
  </conditionalFormatting>
  <conditionalFormatting sqref="C518:C519">
    <cfRule type="duplicateValues" dxfId="919" priority="1121"/>
    <cfRule type="duplicateValues" dxfId="920" priority="1122"/>
    <cfRule type="duplicateValues" dxfId="917" priority="1125"/>
    <cfRule type="duplicateValues" dxfId="918" priority="1126"/>
  </conditionalFormatting>
  <conditionalFormatting sqref="C518:C520">
    <cfRule type="duplicateValues" dxfId="907" priority="1118"/>
    <cfRule type="duplicateValues" dxfId="908" priority="1131"/>
    <cfRule type="duplicateValues" dxfId="909" priority="1132"/>
    <cfRule type="duplicateValues" dxfId="910" priority="1133"/>
    <cfRule type="duplicateValues" dxfId="911" priority="1134"/>
    <cfRule type="duplicateValues" dxfId="912" priority="1135"/>
    <cfRule type="duplicateValues" dxfId="913" priority="1136"/>
    <cfRule type="duplicateValues" dxfId="914" priority="1137"/>
    <cfRule type="duplicateValues" dxfId="915" priority="1138"/>
    <cfRule type="duplicateValues" dxfId="916" priority="1139"/>
    <cfRule type="duplicateValues" dxfId="906" priority="1140"/>
  </conditionalFormatting>
  <conditionalFormatting sqref="C519">
    <cfRule type="duplicateValues" dxfId="905" priority="1123"/>
  </conditionalFormatting>
  <conditionalFormatting sqref="C520">
    <cfRule type="duplicateValues" dxfId="902" priority="1120"/>
    <cfRule type="duplicateValues" dxfId="903" priority="1127"/>
    <cfRule type="duplicateValues" dxfId="904" priority="1128"/>
    <cfRule type="duplicateValues" dxfId="900" priority="1129"/>
    <cfRule type="duplicateValues" dxfId="901" priority="1130"/>
  </conditionalFormatting>
  <conditionalFormatting sqref="C521">
    <cfRule type="duplicateValues" dxfId="899" priority="1092"/>
  </conditionalFormatting>
  <conditionalFormatting sqref="C521:C531">
    <cfRule type="duplicateValues" dxfId="897" priority="1093"/>
    <cfRule type="duplicateValues" dxfId="898" priority="1094"/>
  </conditionalFormatting>
  <conditionalFormatting sqref="C521:C532">
    <cfRule type="duplicateValues" dxfId="887" priority="1079"/>
    <cfRule type="duplicateValues" dxfId="888" priority="1095"/>
    <cfRule type="duplicateValues" dxfId="889" priority="1096"/>
    <cfRule type="duplicateValues" dxfId="890" priority="1097"/>
    <cfRule type="duplicateValues" dxfId="891" priority="1098"/>
    <cfRule type="duplicateValues" dxfId="892" priority="1099"/>
    <cfRule type="duplicateValues" dxfId="893" priority="1100"/>
    <cfRule type="duplicateValues" dxfId="894" priority="1101"/>
    <cfRule type="duplicateValues" dxfId="895" priority="1102"/>
    <cfRule type="duplicateValues" dxfId="896" priority="1103"/>
    <cfRule type="duplicateValues" dxfId="886" priority="1104"/>
  </conditionalFormatting>
  <conditionalFormatting sqref="C522">
    <cfRule type="duplicateValues" dxfId="885" priority="1091"/>
  </conditionalFormatting>
  <conditionalFormatting sqref="C523">
    <cfRule type="duplicateValues" dxfId="884" priority="1090"/>
  </conditionalFormatting>
  <conditionalFormatting sqref="C524">
    <cfRule type="duplicateValues" dxfId="883" priority="1089"/>
  </conditionalFormatting>
  <conditionalFormatting sqref="C525">
    <cfRule type="duplicateValues" dxfId="882" priority="1088"/>
  </conditionalFormatting>
  <conditionalFormatting sqref="C526">
    <cfRule type="duplicateValues" dxfId="881" priority="1087"/>
  </conditionalFormatting>
  <conditionalFormatting sqref="C527">
    <cfRule type="duplicateValues" dxfId="880" priority="1086"/>
  </conditionalFormatting>
  <conditionalFormatting sqref="C528">
    <cfRule type="duplicateValues" dxfId="879" priority="1085"/>
  </conditionalFormatting>
  <conditionalFormatting sqref="C529">
    <cfRule type="duplicateValues" dxfId="878" priority="1084"/>
  </conditionalFormatting>
  <conditionalFormatting sqref="C530">
    <cfRule type="duplicateValues" dxfId="877" priority="1083"/>
  </conditionalFormatting>
  <conditionalFormatting sqref="C531">
    <cfRule type="duplicateValues" dxfId="876" priority="1082"/>
  </conditionalFormatting>
  <conditionalFormatting sqref="C533:C537">
    <cfRule type="duplicateValues" dxfId="865" priority="1068"/>
    <cfRule type="duplicateValues" dxfId="866" priority="1069"/>
    <cfRule type="duplicateValues" dxfId="867" priority="1070"/>
    <cfRule type="duplicateValues" dxfId="868" priority="1071"/>
    <cfRule type="duplicateValues" dxfId="869" priority="1072"/>
    <cfRule type="duplicateValues" dxfId="870" priority="1073"/>
    <cfRule type="duplicateValues" dxfId="871" priority="1074"/>
    <cfRule type="duplicateValues" dxfId="872" priority="1075"/>
    <cfRule type="duplicateValues" dxfId="873" priority="1076"/>
    <cfRule type="duplicateValues" dxfId="874" priority="1077"/>
    <cfRule type="duplicateValues" dxfId="875" priority="1078"/>
  </conditionalFormatting>
  <conditionalFormatting sqref="C538">
    <cfRule type="duplicateValues" dxfId="863" priority="604"/>
    <cfRule type="duplicateValues" dxfId="862" priority="605"/>
    <cfRule type="duplicateValues" dxfId="864" priority="606"/>
  </conditionalFormatting>
  <conditionalFormatting sqref="C539:C540">
    <cfRule type="duplicateValues" dxfId="852" priority="1056"/>
    <cfRule type="duplicateValues" dxfId="853" priority="1057"/>
    <cfRule type="duplicateValues" dxfId="854" priority="1058"/>
    <cfRule type="duplicateValues" dxfId="855" priority="1059"/>
    <cfRule type="duplicateValues" dxfId="856" priority="1060"/>
    <cfRule type="duplicateValues" dxfId="857" priority="1061"/>
    <cfRule type="duplicateValues" dxfId="858" priority="1062"/>
    <cfRule type="duplicateValues" dxfId="851" priority="1063"/>
    <cfRule type="duplicateValues" dxfId="859" priority="1064"/>
    <cfRule type="duplicateValues" dxfId="860" priority="1065"/>
    <cfRule type="duplicateValues" dxfId="861" priority="1066"/>
  </conditionalFormatting>
  <conditionalFormatting sqref="C541">
    <cfRule type="duplicateValues" dxfId="840" priority="1043"/>
    <cfRule type="duplicateValues" dxfId="841" priority="1045"/>
    <cfRule type="duplicateValues" dxfId="842" priority="1046"/>
    <cfRule type="duplicateValues" dxfId="843" priority="1047"/>
    <cfRule type="duplicateValues" dxfId="844" priority="1048"/>
    <cfRule type="duplicateValues" dxfId="845" priority="1049"/>
    <cfRule type="duplicateValues" dxfId="846" priority="1050"/>
    <cfRule type="duplicateValues" dxfId="847" priority="1051"/>
    <cfRule type="duplicateValues" dxfId="848" priority="1052"/>
    <cfRule type="duplicateValues" dxfId="849" priority="1053"/>
    <cfRule type="duplicateValues" dxfId="850" priority="1054"/>
  </conditionalFormatting>
  <conditionalFormatting sqref="C542">
    <cfRule type="duplicateValues" dxfId="826" priority="1029"/>
    <cfRule type="duplicateValues" dxfId="827" priority="1030"/>
    <cfRule type="duplicateValues" dxfId="828" priority="1031"/>
    <cfRule type="duplicateValues" dxfId="829" priority="1032"/>
    <cfRule type="duplicateValues" dxfId="830" priority="1033"/>
    <cfRule type="duplicateValues" dxfId="831" priority="1034"/>
    <cfRule type="duplicateValues" dxfId="832" priority="1035"/>
    <cfRule type="duplicateValues" dxfId="833" priority="1036"/>
    <cfRule type="duplicateValues" dxfId="834" priority="1037"/>
    <cfRule type="duplicateValues" dxfId="835" priority="1038"/>
    <cfRule type="duplicateValues" dxfId="836" priority="1039"/>
    <cfRule type="duplicateValues" dxfId="837" priority="1040"/>
    <cfRule type="duplicateValues" dxfId="838" priority="1041"/>
    <cfRule type="duplicateValues" dxfId="839" priority="1042"/>
  </conditionalFormatting>
  <conditionalFormatting sqref="C543">
    <cfRule type="duplicateValues" dxfId="816" priority="1014"/>
    <cfRule type="duplicateValues" dxfId="817" priority="1015"/>
    <cfRule type="duplicateValues" dxfId="818" priority="1016"/>
    <cfRule type="duplicateValues" dxfId="819" priority="1017"/>
    <cfRule type="duplicateValues" dxfId="812" priority="1018"/>
    <cfRule type="duplicateValues" dxfId="813" priority="1019"/>
    <cfRule type="duplicateValues" dxfId="814" priority="1020"/>
    <cfRule type="duplicateValues" dxfId="815" priority="1021"/>
    <cfRule type="duplicateValues" dxfId="820" priority="1022"/>
    <cfRule type="duplicateValues" dxfId="821" priority="1023"/>
    <cfRule type="duplicateValues" dxfId="822" priority="1024"/>
    <cfRule type="duplicateValues" dxfId="823" priority="1025"/>
    <cfRule type="duplicateValues" dxfId="824" priority="1026"/>
    <cfRule type="duplicateValues" dxfId="825" priority="1027"/>
  </conditionalFormatting>
  <conditionalFormatting sqref="C544">
    <cfRule type="duplicateValues" dxfId="809" priority="999"/>
    <cfRule type="duplicateValues" dxfId="808" priority="1002"/>
    <cfRule type="duplicateValues" dxfId="807" priority="1003"/>
    <cfRule type="duplicateValues" dxfId="800" priority="1004"/>
    <cfRule type="duplicateValues" dxfId="811" priority="1005"/>
    <cfRule type="duplicateValues" dxfId="810" priority="1006"/>
    <cfRule type="duplicateValues" dxfId="806" priority="1007"/>
    <cfRule type="duplicateValues" dxfId="805" priority="1008"/>
    <cfRule type="duplicateValues" dxfId="804" priority="1009"/>
    <cfRule type="duplicateValues" dxfId="803" priority="1010"/>
    <cfRule type="duplicateValues" dxfId="802" priority="1011"/>
    <cfRule type="duplicateValues" dxfId="801" priority="1012"/>
  </conditionalFormatting>
  <conditionalFormatting sqref="C545:C546">
    <cfRule type="duplicateValues" dxfId="799" priority="987"/>
    <cfRule type="duplicateValues" dxfId="798" priority="989"/>
    <cfRule type="duplicateValues" dxfId="797" priority="990"/>
    <cfRule type="duplicateValues" dxfId="796" priority="991"/>
    <cfRule type="duplicateValues" dxfId="795" priority="992"/>
    <cfRule type="duplicateValues" dxfId="794" priority="993"/>
    <cfRule type="duplicateValues" dxfId="793" priority="994"/>
    <cfRule type="duplicateValues" dxfId="792" priority="995"/>
    <cfRule type="duplicateValues" dxfId="791" priority="996"/>
    <cfRule type="duplicateValues" dxfId="790" priority="997"/>
    <cfRule type="duplicateValues" dxfId="789" priority="998"/>
  </conditionalFormatting>
  <conditionalFormatting sqref="C547">
    <cfRule type="duplicateValues" dxfId="786" priority="974"/>
    <cfRule type="duplicateValues" dxfId="787" priority="975"/>
    <cfRule type="duplicateValues" dxfId="788" priority="976"/>
    <cfRule type="duplicateValues" dxfId="785" priority="977"/>
    <cfRule type="duplicateValues" dxfId="777" priority="979"/>
    <cfRule type="duplicateValues" dxfId="778" priority="980"/>
    <cfRule type="duplicateValues" dxfId="779" priority="981"/>
    <cfRule type="duplicateValues" dxfId="780" priority="982"/>
    <cfRule type="duplicateValues" dxfId="781" priority="983"/>
    <cfRule type="duplicateValues" dxfId="782" priority="984"/>
    <cfRule type="duplicateValues" dxfId="783" priority="985"/>
    <cfRule type="duplicateValues" dxfId="784" priority="986"/>
  </conditionalFormatting>
  <conditionalFormatting sqref="C548:C549">
    <cfRule type="duplicateValues" dxfId="775" priority="963"/>
    <cfRule type="duplicateValues" dxfId="771" priority="964"/>
    <cfRule type="duplicateValues" dxfId="772" priority="965"/>
    <cfRule type="duplicateValues" dxfId="766" priority="966"/>
    <cfRule type="duplicateValues" dxfId="773" priority="967"/>
    <cfRule type="duplicateValues" dxfId="770" priority="968"/>
    <cfRule type="duplicateValues" dxfId="769" priority="969"/>
    <cfRule type="duplicateValues" dxfId="767" priority="970"/>
    <cfRule type="duplicateValues" dxfId="776" priority="971"/>
    <cfRule type="duplicateValues" dxfId="774" priority="972"/>
    <cfRule type="duplicateValues" dxfId="768" priority="973"/>
  </conditionalFormatting>
  <conditionalFormatting sqref="C550">
    <cfRule type="duplicateValues" dxfId="763" priority="946"/>
    <cfRule type="duplicateValues" dxfId="764" priority="948"/>
    <cfRule type="duplicateValues" dxfId="752" priority="949"/>
    <cfRule type="duplicateValues" dxfId="753" priority="950"/>
    <cfRule type="duplicateValues" dxfId="754" priority="952"/>
    <cfRule type="duplicateValues" dxfId="761" priority="953"/>
    <cfRule type="duplicateValues" dxfId="760" priority="954"/>
    <cfRule type="duplicateValues" dxfId="758" priority="955"/>
    <cfRule type="duplicateValues" dxfId="759" priority="956"/>
    <cfRule type="duplicateValues" dxfId="765" priority="957"/>
    <cfRule type="duplicateValues" dxfId="757" priority="958"/>
    <cfRule type="duplicateValues" dxfId="756" priority="959"/>
    <cfRule type="duplicateValues" dxfId="762" priority="960"/>
    <cfRule type="duplicateValues" dxfId="755" priority="961"/>
  </conditionalFormatting>
  <conditionalFormatting sqref="C551">
    <cfRule type="duplicateValues" dxfId="748" priority="938"/>
    <cfRule type="duplicateValues" dxfId="747" priority="939"/>
    <cfRule type="duplicateValues" dxfId="749" priority="940"/>
    <cfRule type="duplicateValues" dxfId="750" priority="941"/>
    <cfRule type="duplicateValues" dxfId="751" priority="942"/>
    <cfRule type="duplicateValues" dxfId="744" priority="943"/>
    <cfRule type="duplicateValues" dxfId="745" priority="944"/>
    <cfRule type="duplicateValues" dxfId="746" priority="945"/>
  </conditionalFormatting>
  <conditionalFormatting sqref="C552">
    <cfRule type="duplicateValues" dxfId="742" priority="601"/>
    <cfRule type="duplicateValues" dxfId="741" priority="602"/>
    <cfRule type="duplicateValues" dxfId="743" priority="603"/>
  </conditionalFormatting>
  <conditionalFormatting sqref="C553">
    <cfRule type="duplicateValues" dxfId="739" priority="923"/>
    <cfRule type="duplicateValues" dxfId="738" priority="924"/>
    <cfRule type="duplicateValues" dxfId="737" priority="925"/>
    <cfRule type="duplicateValues" dxfId="740" priority="926"/>
    <cfRule type="duplicateValues" dxfId="735" priority="927"/>
    <cfRule type="duplicateValues" dxfId="727" priority="928"/>
    <cfRule type="duplicateValues" dxfId="728" priority="929"/>
    <cfRule type="duplicateValues" dxfId="729" priority="930"/>
    <cfRule type="duplicateValues" dxfId="730" priority="931"/>
    <cfRule type="duplicateValues" dxfId="736" priority="932"/>
    <cfRule type="duplicateValues" dxfId="731" priority="933"/>
    <cfRule type="duplicateValues" dxfId="732" priority="934"/>
    <cfRule type="duplicateValues" dxfId="733" priority="935"/>
    <cfRule type="duplicateValues" dxfId="734" priority="936"/>
  </conditionalFormatting>
  <conditionalFormatting sqref="C554">
    <cfRule type="duplicateValues" dxfId="715" priority="908"/>
    <cfRule type="duplicateValues" dxfId="716" priority="909"/>
    <cfRule type="duplicateValues" dxfId="717" priority="910"/>
    <cfRule type="duplicateValues" dxfId="718" priority="911"/>
    <cfRule type="duplicateValues" dxfId="720" priority="912"/>
    <cfRule type="duplicateValues" dxfId="721" priority="913"/>
    <cfRule type="duplicateValues" dxfId="722" priority="914"/>
    <cfRule type="duplicateValues" dxfId="714" priority="915"/>
    <cfRule type="duplicateValues" dxfId="723" priority="916"/>
    <cfRule type="duplicateValues" dxfId="724" priority="917"/>
    <cfRule type="duplicateValues" dxfId="719" priority="918"/>
    <cfRule type="duplicateValues" dxfId="725" priority="919"/>
    <cfRule type="duplicateValues" dxfId="726" priority="920"/>
    <cfRule type="duplicateValues" dxfId="713" priority="921"/>
  </conditionalFormatting>
  <conditionalFormatting sqref="C555">
    <cfRule type="duplicateValues" dxfId="708" priority="902"/>
    <cfRule type="duplicateValues" dxfId="709" priority="903"/>
    <cfRule type="duplicateValues" dxfId="710" priority="904"/>
    <cfRule type="duplicateValues" dxfId="711" priority="905"/>
    <cfRule type="duplicateValues" dxfId="712" priority="906"/>
  </conditionalFormatting>
  <conditionalFormatting sqref="C556">
    <cfRule type="duplicateValues" dxfId="698" priority="890"/>
    <cfRule type="duplicateValues" dxfId="699" priority="891"/>
    <cfRule type="duplicateValues" dxfId="700" priority="892"/>
    <cfRule type="duplicateValues" dxfId="701" priority="893"/>
    <cfRule type="duplicateValues" dxfId="702" priority="894"/>
    <cfRule type="duplicateValues" dxfId="703" priority="895"/>
    <cfRule type="duplicateValues" dxfId="697" priority="896"/>
    <cfRule type="duplicateValues" dxfId="704" priority="897"/>
    <cfRule type="duplicateValues" dxfId="707" priority="898"/>
    <cfRule type="duplicateValues" dxfId="706" priority="899"/>
    <cfRule type="duplicateValues" dxfId="705" priority="900"/>
  </conditionalFormatting>
  <conditionalFormatting sqref="C557">
    <cfRule type="duplicateValues" dxfId="688" priority="876"/>
    <cfRule type="duplicateValues" dxfId="687" priority="879"/>
    <cfRule type="duplicateValues" dxfId="686" priority="880"/>
    <cfRule type="duplicateValues" dxfId="689" priority="881"/>
    <cfRule type="duplicateValues" dxfId="696" priority="882"/>
    <cfRule type="duplicateValues" dxfId="695" priority="883"/>
    <cfRule type="duplicateValues" dxfId="694" priority="884"/>
    <cfRule type="duplicateValues" dxfId="693" priority="885"/>
    <cfRule type="duplicateValues" dxfId="692" priority="886"/>
    <cfRule type="duplicateValues" dxfId="691" priority="887"/>
    <cfRule type="duplicateValues" dxfId="690" priority="888"/>
  </conditionalFormatting>
  <conditionalFormatting sqref="C558">
    <cfRule type="duplicateValues" dxfId="675" priority="863"/>
    <cfRule type="duplicateValues" dxfId="677" priority="865"/>
    <cfRule type="duplicateValues" dxfId="676" priority="866"/>
    <cfRule type="duplicateValues" dxfId="674" priority="867"/>
    <cfRule type="duplicateValues" dxfId="685" priority="868"/>
    <cfRule type="duplicateValues" dxfId="684" priority="869"/>
    <cfRule type="duplicateValues" dxfId="683" priority="870"/>
    <cfRule type="duplicateValues" dxfId="682" priority="871"/>
    <cfRule type="duplicateValues" dxfId="681" priority="872"/>
    <cfRule type="duplicateValues" dxfId="680" priority="873"/>
    <cfRule type="duplicateValues" dxfId="679" priority="874"/>
    <cfRule type="duplicateValues" dxfId="678" priority="875"/>
  </conditionalFormatting>
  <conditionalFormatting sqref="C559">
    <cfRule type="duplicateValues" dxfId="671" priority="850"/>
    <cfRule type="duplicateValues" dxfId="673" priority="852"/>
    <cfRule type="duplicateValues" dxfId="672" priority="853"/>
    <cfRule type="duplicateValues" dxfId="670" priority="854"/>
    <cfRule type="duplicateValues" dxfId="663" priority="855"/>
    <cfRule type="duplicateValues" dxfId="666" priority="856"/>
    <cfRule type="duplicateValues" dxfId="664" priority="857"/>
    <cfRule type="duplicateValues" dxfId="669" priority="858"/>
    <cfRule type="duplicateValues" dxfId="668" priority="859"/>
    <cfRule type="duplicateValues" dxfId="667" priority="860"/>
    <cfRule type="duplicateValues" dxfId="665" priority="861"/>
    <cfRule type="duplicateValues" dxfId="662" priority="862"/>
  </conditionalFormatting>
  <conditionalFormatting sqref="C560">
    <cfRule type="duplicateValues" dxfId="656" priority="837"/>
    <cfRule type="duplicateValues" dxfId="655" priority="839"/>
    <cfRule type="duplicateValues" dxfId="661" priority="840"/>
    <cfRule type="duplicateValues" dxfId="654" priority="841"/>
    <cfRule type="duplicateValues" dxfId="653" priority="842"/>
    <cfRule type="duplicateValues" dxfId="652" priority="843"/>
    <cfRule type="duplicateValues" dxfId="651" priority="844"/>
    <cfRule type="duplicateValues" dxfId="650" priority="845"/>
    <cfRule type="duplicateValues" dxfId="660" priority="846"/>
    <cfRule type="duplicateValues" dxfId="659" priority="847"/>
    <cfRule type="duplicateValues" dxfId="658" priority="848"/>
    <cfRule type="duplicateValues" dxfId="657" priority="849"/>
  </conditionalFormatting>
  <conditionalFormatting sqref="C561">
    <cfRule type="duplicateValues" dxfId="638" priority="822"/>
    <cfRule type="duplicateValues" dxfId="637" priority="825"/>
    <cfRule type="duplicateValues" dxfId="639" priority="826"/>
    <cfRule type="duplicateValues" dxfId="640" priority="827"/>
    <cfRule type="duplicateValues" dxfId="641" priority="828"/>
    <cfRule type="duplicateValues" dxfId="642" priority="829"/>
    <cfRule type="duplicateValues" dxfId="643" priority="830"/>
    <cfRule type="duplicateValues" dxfId="644" priority="831"/>
    <cfRule type="duplicateValues" dxfId="645" priority="832"/>
    <cfRule type="duplicateValues" dxfId="646" priority="833"/>
    <cfRule type="duplicateValues" dxfId="648" priority="834"/>
    <cfRule type="duplicateValues" dxfId="647" priority="835"/>
    <cfRule type="duplicateValues" dxfId="649" priority="836"/>
  </conditionalFormatting>
  <conditionalFormatting sqref="C562">
    <cfRule type="duplicateValues" dxfId="631" priority="816"/>
    <cfRule type="duplicateValues" dxfId="632" priority="817"/>
    <cfRule type="duplicateValues" dxfId="633" priority="818"/>
    <cfRule type="duplicateValues" dxfId="634" priority="819"/>
    <cfRule type="duplicateValues" dxfId="635" priority="820"/>
    <cfRule type="duplicateValues" dxfId="636" priority="821"/>
  </conditionalFormatting>
  <conditionalFormatting sqref="C563">
    <cfRule type="duplicateValues" dxfId="621" priority="804"/>
    <cfRule type="duplicateValues" dxfId="620" priority="805"/>
    <cfRule type="duplicateValues" dxfId="623" priority="806"/>
    <cfRule type="duplicateValues" dxfId="630" priority="807"/>
    <cfRule type="duplicateValues" dxfId="629" priority="808"/>
    <cfRule type="duplicateValues" dxfId="628" priority="809"/>
    <cfRule type="duplicateValues" dxfId="627" priority="810"/>
    <cfRule type="duplicateValues" dxfId="626" priority="811"/>
    <cfRule type="duplicateValues" dxfId="622" priority="812"/>
    <cfRule type="duplicateValues" dxfId="624" priority="813"/>
    <cfRule type="duplicateValues" dxfId="625" priority="814"/>
  </conditionalFormatting>
  <conditionalFormatting sqref="C564">
    <cfRule type="duplicateValues" dxfId="619" priority="802"/>
  </conditionalFormatting>
  <conditionalFormatting sqref="C564:C565">
    <cfRule type="duplicateValues" dxfId="615" priority="3012"/>
    <cfRule type="duplicateValues" dxfId="616" priority="3013"/>
    <cfRule type="duplicateValues" dxfId="614" priority="3014"/>
    <cfRule type="duplicateValues" dxfId="617" priority="3015"/>
    <cfRule type="duplicateValues" dxfId="618" priority="3016"/>
  </conditionalFormatting>
  <conditionalFormatting sqref="C565">
    <cfRule type="duplicateValues" dxfId="613" priority="3017"/>
  </conditionalFormatting>
  <conditionalFormatting sqref="C566">
    <cfRule type="duplicateValues" dxfId="612" priority="801"/>
  </conditionalFormatting>
  <conditionalFormatting sqref="C567">
    <cfRule type="duplicateValues" dxfId="604" priority="788"/>
    <cfRule type="duplicateValues" dxfId="606" priority="789"/>
    <cfRule type="duplicateValues" dxfId="607" priority="791"/>
    <cfRule type="duplicateValues" dxfId="608" priority="792"/>
    <cfRule type="duplicateValues" dxfId="609" priority="793"/>
    <cfRule type="duplicateValues" dxfId="610" priority="794"/>
    <cfRule type="duplicateValues" dxfId="600" priority="795"/>
    <cfRule type="duplicateValues" dxfId="601" priority="796"/>
    <cfRule type="duplicateValues" dxfId="611" priority="797"/>
    <cfRule type="duplicateValues" dxfId="602" priority="798"/>
    <cfRule type="duplicateValues" dxfId="605" priority="799"/>
    <cfRule type="duplicateValues" dxfId="603" priority="800"/>
  </conditionalFormatting>
  <conditionalFormatting sqref="C568">
    <cfRule type="duplicateValues" dxfId="591" priority="776"/>
    <cfRule type="duplicateValues" dxfId="590" priority="777"/>
    <cfRule type="duplicateValues" dxfId="589" priority="778"/>
    <cfRule type="duplicateValues" dxfId="592" priority="779"/>
    <cfRule type="duplicateValues" dxfId="599" priority="780"/>
    <cfRule type="duplicateValues" dxfId="598" priority="781"/>
    <cfRule type="duplicateValues" dxfId="597" priority="782"/>
    <cfRule type="duplicateValues" dxfId="596" priority="783"/>
    <cfRule type="duplicateValues" dxfId="595" priority="784"/>
    <cfRule type="duplicateValues" dxfId="588" priority="785"/>
    <cfRule type="duplicateValues" dxfId="594" priority="786"/>
    <cfRule type="duplicateValues" dxfId="593" priority="787"/>
  </conditionalFormatting>
  <conditionalFormatting sqref="C569">
    <cfRule type="duplicateValues" dxfId="579" priority="761"/>
    <cfRule type="duplicateValues" dxfId="578" priority="763"/>
    <cfRule type="duplicateValues" dxfId="577" priority="765"/>
    <cfRule type="duplicateValues" dxfId="580" priority="766"/>
    <cfRule type="duplicateValues" dxfId="581" priority="767"/>
    <cfRule type="duplicateValues" dxfId="582" priority="768"/>
    <cfRule type="duplicateValues" dxfId="583" priority="769"/>
    <cfRule type="duplicateValues" dxfId="584" priority="770"/>
    <cfRule type="duplicateValues" dxfId="585" priority="771"/>
    <cfRule type="duplicateValues" dxfId="587" priority="772"/>
    <cfRule type="duplicateValues" dxfId="576" priority="773"/>
    <cfRule type="duplicateValues" dxfId="586" priority="774"/>
  </conditionalFormatting>
  <conditionalFormatting sqref="C570">
    <cfRule type="duplicateValues" dxfId="565" priority="748"/>
    <cfRule type="duplicateValues" dxfId="564" priority="749"/>
    <cfRule type="duplicateValues" dxfId="563" priority="750"/>
    <cfRule type="duplicateValues" dxfId="567" priority="751"/>
    <cfRule type="duplicateValues" dxfId="575" priority="752"/>
    <cfRule type="duplicateValues" dxfId="574" priority="753"/>
    <cfRule type="duplicateValues" dxfId="573" priority="754"/>
    <cfRule type="duplicateValues" dxfId="572" priority="755"/>
    <cfRule type="duplicateValues" dxfId="571" priority="756"/>
    <cfRule type="duplicateValues" dxfId="568" priority="757"/>
    <cfRule type="duplicateValues" dxfId="570" priority="758"/>
    <cfRule type="duplicateValues" dxfId="569" priority="759"/>
    <cfRule type="duplicateValues" dxfId="566" priority="760"/>
  </conditionalFormatting>
  <conditionalFormatting sqref="C571">
    <cfRule type="duplicateValues" dxfId="558" priority="731"/>
    <cfRule type="duplicateValues" dxfId="556" priority="734"/>
    <cfRule type="duplicateValues" dxfId="557" priority="735"/>
    <cfRule type="duplicateValues" dxfId="550" priority="736"/>
    <cfRule type="duplicateValues" dxfId="551" priority="737"/>
    <cfRule type="duplicateValues" dxfId="552" priority="738"/>
    <cfRule type="duplicateValues" dxfId="553" priority="739"/>
    <cfRule type="duplicateValues" dxfId="554" priority="740"/>
    <cfRule type="duplicateValues" dxfId="555" priority="741"/>
    <cfRule type="duplicateValues" dxfId="549" priority="742"/>
    <cfRule type="duplicateValues" dxfId="562" priority="743"/>
    <cfRule type="duplicateValues" dxfId="561" priority="744"/>
    <cfRule type="duplicateValues" dxfId="560" priority="745"/>
    <cfRule type="duplicateValues" dxfId="559" priority="746"/>
  </conditionalFormatting>
  <conditionalFormatting sqref="C572">
    <cfRule type="duplicateValues" dxfId="540" priority="721"/>
    <cfRule type="duplicateValues" dxfId="541" priority="723"/>
    <cfRule type="duplicateValues" dxfId="542" priority="724"/>
    <cfRule type="duplicateValues" dxfId="543" priority="725"/>
    <cfRule type="duplicateValues" dxfId="544" priority="726"/>
    <cfRule type="duplicateValues" dxfId="545" priority="727"/>
    <cfRule type="duplicateValues" dxfId="546" priority="728"/>
    <cfRule type="duplicateValues" dxfId="547" priority="729"/>
    <cfRule type="duplicateValues" dxfId="548" priority="730"/>
  </conditionalFormatting>
  <conditionalFormatting sqref="C573">
    <cfRule type="duplicateValues" dxfId="532" priority="712"/>
    <cfRule type="duplicateValues" dxfId="533" priority="713"/>
    <cfRule type="duplicateValues" dxfId="534" priority="714"/>
    <cfRule type="duplicateValues" dxfId="535" priority="715"/>
    <cfRule type="duplicateValues" dxfId="536" priority="716"/>
    <cfRule type="duplicateValues" dxfId="537" priority="717"/>
    <cfRule type="duplicateValues" dxfId="538" priority="718"/>
    <cfRule type="duplicateValues" dxfId="539" priority="719"/>
  </conditionalFormatting>
  <conditionalFormatting sqref="C574">
    <cfRule type="duplicateValues" dxfId="524" priority="703"/>
    <cfRule type="duplicateValues" dxfId="525" priority="704"/>
    <cfRule type="duplicateValues" dxfId="526" priority="705"/>
    <cfRule type="duplicateValues" dxfId="527" priority="706"/>
    <cfRule type="duplicateValues" dxfId="528" priority="707"/>
    <cfRule type="duplicateValues" dxfId="529" priority="708"/>
    <cfRule type="duplicateValues" dxfId="530" priority="709"/>
    <cfRule type="duplicateValues" dxfId="531" priority="710"/>
  </conditionalFormatting>
  <conditionalFormatting sqref="C575">
    <cfRule type="duplicateValues" dxfId="516" priority="693"/>
    <cfRule type="duplicateValues" dxfId="517" priority="695"/>
    <cfRule type="duplicateValues" dxfId="518" priority="696"/>
    <cfRule type="duplicateValues" dxfId="519" priority="697"/>
    <cfRule type="duplicateValues" dxfId="520" priority="698"/>
    <cfRule type="duplicateValues" dxfId="521" priority="699"/>
    <cfRule type="duplicateValues" dxfId="522" priority="700"/>
    <cfRule type="duplicateValues" dxfId="523" priority="701"/>
  </conditionalFormatting>
  <conditionalFormatting sqref="C576">
    <cfRule type="duplicateValues" dxfId="508" priority="685"/>
    <cfRule type="duplicateValues" dxfId="509" priority="686"/>
    <cfRule type="duplicateValues" dxfId="510" priority="687"/>
    <cfRule type="duplicateValues" dxfId="511" priority="688"/>
    <cfRule type="duplicateValues" dxfId="512" priority="689"/>
    <cfRule type="duplicateValues" dxfId="513" priority="690"/>
    <cfRule type="duplicateValues" dxfId="514" priority="691"/>
    <cfRule type="duplicateValues" dxfId="515" priority="692"/>
  </conditionalFormatting>
  <conditionalFormatting sqref="C577">
    <cfRule type="duplicateValues" dxfId="507" priority="676"/>
    <cfRule type="duplicateValues" dxfId="500" priority="677"/>
    <cfRule type="duplicateValues" dxfId="501" priority="678"/>
    <cfRule type="duplicateValues" dxfId="502" priority="679"/>
    <cfRule type="duplicateValues" dxfId="503" priority="680"/>
    <cfRule type="duplicateValues" dxfId="504" priority="681"/>
    <cfRule type="duplicateValues" dxfId="505" priority="682"/>
    <cfRule type="duplicateValues" dxfId="506" priority="683"/>
  </conditionalFormatting>
  <conditionalFormatting sqref="C578">
    <cfRule type="duplicateValues" dxfId="499" priority="674"/>
  </conditionalFormatting>
  <conditionalFormatting sqref="C578:C579">
    <cfRule type="duplicateValues" dxfId="488" priority="3021"/>
    <cfRule type="duplicateValues" dxfId="498" priority="3022"/>
    <cfRule type="duplicateValues" dxfId="489" priority="3023"/>
    <cfRule type="duplicateValues" dxfId="490" priority="3024"/>
    <cfRule type="duplicateValues" dxfId="491" priority="3025"/>
    <cfRule type="duplicateValues" dxfId="492" priority="3026"/>
    <cfRule type="duplicateValues" dxfId="493" priority="3027"/>
    <cfRule type="duplicateValues" dxfId="494" priority="3028"/>
    <cfRule type="duplicateValues" dxfId="495" priority="3029"/>
    <cfRule type="duplicateValues" dxfId="496" priority="3030"/>
    <cfRule type="duplicateValues" dxfId="497" priority="3031"/>
  </conditionalFormatting>
  <conditionalFormatting sqref="C579">
    <cfRule type="duplicateValues" dxfId="487" priority="3032"/>
  </conditionalFormatting>
  <conditionalFormatting sqref="C580">
    <cfRule type="duplicateValues" dxfId="484" priority="598"/>
    <cfRule type="duplicateValues" dxfId="485" priority="599"/>
    <cfRule type="duplicateValues" dxfId="486" priority="600"/>
  </conditionalFormatting>
  <conditionalFormatting sqref="C596">
    <cfRule type="duplicateValues" dxfId="480" priority="569"/>
    <cfRule type="duplicateValues" dxfId="481" priority="570"/>
    <cfRule type="duplicateValues" dxfId="482" priority="571"/>
    <cfRule type="duplicateValues" dxfId="483" priority="572"/>
  </conditionalFormatting>
  <conditionalFormatting sqref="C596:C616">
    <cfRule type="duplicateValues" dxfId="476" priority="3035"/>
    <cfRule type="duplicateValues" dxfId="477" priority="3036"/>
    <cfRule type="duplicateValues" dxfId="478" priority="3037"/>
    <cfRule type="duplicateValues" dxfId="479" priority="3038"/>
  </conditionalFormatting>
  <conditionalFormatting sqref="C597">
    <cfRule type="duplicateValues" dxfId="474" priority="563"/>
    <cfRule type="duplicateValues" dxfId="471" priority="564"/>
    <cfRule type="duplicateValues" dxfId="473" priority="565"/>
    <cfRule type="duplicateValues" dxfId="472" priority="566"/>
    <cfRule type="duplicateValues" dxfId="475" priority="567"/>
  </conditionalFormatting>
  <conditionalFormatting sqref="C598">
    <cfRule type="duplicateValues" dxfId="468" priority="557"/>
    <cfRule type="duplicateValues" dxfId="467" priority="558"/>
    <cfRule type="duplicateValues" dxfId="466" priority="559"/>
    <cfRule type="duplicateValues" dxfId="470" priority="560"/>
    <cfRule type="duplicateValues" dxfId="469" priority="561"/>
  </conditionalFormatting>
  <conditionalFormatting sqref="C599">
    <cfRule type="duplicateValues" dxfId="461" priority="551"/>
    <cfRule type="duplicateValues" dxfId="462" priority="552"/>
    <cfRule type="duplicateValues" dxfId="463" priority="553"/>
    <cfRule type="duplicateValues" dxfId="464" priority="554"/>
    <cfRule type="duplicateValues" dxfId="465" priority="555"/>
  </conditionalFormatting>
  <conditionalFormatting sqref="C600">
    <cfRule type="duplicateValues" dxfId="460" priority="549"/>
  </conditionalFormatting>
  <conditionalFormatting sqref="C600:C603">
    <cfRule type="duplicateValues" dxfId="459" priority="574"/>
  </conditionalFormatting>
  <conditionalFormatting sqref="C601">
    <cfRule type="duplicateValues" dxfId="458" priority="548"/>
  </conditionalFormatting>
  <conditionalFormatting sqref="C602">
    <cfRule type="duplicateValues" dxfId="457" priority="547"/>
  </conditionalFormatting>
  <conditionalFormatting sqref="C603">
    <cfRule type="duplicateValues" dxfId="456" priority="546"/>
  </conditionalFormatting>
  <conditionalFormatting sqref="C604">
    <cfRule type="duplicateValues" dxfId="452" priority="541"/>
    <cfRule type="duplicateValues" dxfId="453" priority="542"/>
    <cfRule type="duplicateValues" dxfId="454" priority="543"/>
    <cfRule type="duplicateValues" dxfId="455" priority="544"/>
    <cfRule type="duplicateValues" dxfId="451" priority="545"/>
  </conditionalFormatting>
  <conditionalFormatting sqref="C605">
    <cfRule type="duplicateValues" dxfId="447" priority="535"/>
    <cfRule type="duplicateValues" dxfId="448" priority="536"/>
    <cfRule type="duplicateValues" dxfId="449" priority="537"/>
    <cfRule type="duplicateValues" dxfId="446" priority="538"/>
    <cfRule type="duplicateValues" dxfId="450" priority="539"/>
  </conditionalFormatting>
  <conditionalFormatting sqref="C606">
    <cfRule type="duplicateValues" dxfId="441" priority="529"/>
    <cfRule type="duplicateValues" dxfId="443" priority="530"/>
    <cfRule type="duplicateValues" dxfId="442" priority="531"/>
    <cfRule type="duplicateValues" dxfId="444" priority="532"/>
    <cfRule type="duplicateValues" dxfId="445" priority="533"/>
  </conditionalFormatting>
  <conditionalFormatting sqref="C607">
    <cfRule type="duplicateValues" dxfId="436" priority="523"/>
    <cfRule type="duplicateValues" dxfId="437" priority="524"/>
    <cfRule type="duplicateValues" dxfId="438" priority="525"/>
    <cfRule type="duplicateValues" dxfId="439" priority="526"/>
    <cfRule type="duplicateValues" dxfId="440" priority="527"/>
  </conditionalFormatting>
  <conditionalFormatting sqref="C608">
    <cfRule type="duplicateValues" dxfId="433" priority="519"/>
    <cfRule type="duplicateValues" dxfId="435" priority="520"/>
    <cfRule type="duplicateValues" dxfId="434" priority="521"/>
  </conditionalFormatting>
  <conditionalFormatting sqref="C609">
    <cfRule type="duplicateValues" dxfId="431" priority="515"/>
    <cfRule type="duplicateValues" dxfId="432" priority="516"/>
    <cfRule type="duplicateValues" dxfId="430" priority="517"/>
  </conditionalFormatting>
  <conditionalFormatting sqref="C610">
    <cfRule type="duplicateValues" dxfId="428" priority="509"/>
    <cfRule type="duplicateValues" dxfId="429" priority="510"/>
    <cfRule type="duplicateValues" dxfId="425" priority="511"/>
    <cfRule type="duplicateValues" dxfId="427" priority="512"/>
    <cfRule type="duplicateValues" dxfId="426" priority="513"/>
  </conditionalFormatting>
  <conditionalFormatting sqref="C611">
    <cfRule type="duplicateValues" dxfId="424" priority="503"/>
    <cfRule type="duplicateValues" dxfId="420" priority="504"/>
    <cfRule type="duplicateValues" dxfId="421" priority="505"/>
    <cfRule type="duplicateValues" dxfId="422" priority="506"/>
    <cfRule type="duplicateValues" dxfId="423" priority="507"/>
  </conditionalFormatting>
  <conditionalFormatting sqref="C612">
    <cfRule type="duplicateValues" dxfId="416" priority="498"/>
    <cfRule type="duplicateValues" dxfId="419" priority="499"/>
    <cfRule type="duplicateValues" dxfId="418" priority="500"/>
    <cfRule type="duplicateValues" dxfId="417" priority="501"/>
  </conditionalFormatting>
  <conditionalFormatting sqref="C613">
    <cfRule type="duplicateValues" dxfId="415" priority="3039"/>
  </conditionalFormatting>
  <conditionalFormatting sqref="C613:C616">
    <cfRule type="duplicateValues" dxfId="413" priority="3040"/>
    <cfRule type="duplicateValues" dxfId="412" priority="3041"/>
    <cfRule type="duplicateValues" dxfId="414" priority="3042"/>
  </conditionalFormatting>
  <conditionalFormatting sqref="C616">
    <cfRule type="duplicateValues" dxfId="411" priority="496"/>
  </conditionalFormatting>
  <conditionalFormatting sqref="C617">
    <cfRule type="duplicateValues" dxfId="407" priority="491"/>
    <cfRule type="duplicateValues" dxfId="410" priority="492"/>
    <cfRule type="duplicateValues" dxfId="408" priority="493"/>
    <cfRule type="duplicateValues" dxfId="409" priority="494"/>
    <cfRule type="duplicateValues" dxfId="406" priority="495"/>
  </conditionalFormatting>
  <conditionalFormatting sqref="C618">
    <cfRule type="duplicateValues" dxfId="397" priority="480"/>
    <cfRule type="duplicateValues" dxfId="396" priority="481"/>
    <cfRule type="duplicateValues" dxfId="398" priority="482"/>
    <cfRule type="duplicateValues" dxfId="399" priority="483"/>
    <cfRule type="duplicateValues" dxfId="400" priority="484"/>
    <cfRule type="duplicateValues" dxfId="401" priority="485"/>
    <cfRule type="duplicateValues" dxfId="402" priority="486"/>
    <cfRule type="duplicateValues" dxfId="403" priority="487"/>
    <cfRule type="duplicateValues" dxfId="404" priority="488"/>
    <cfRule type="duplicateValues" dxfId="405" priority="489"/>
  </conditionalFormatting>
  <conditionalFormatting sqref="C619">
    <cfRule type="duplicateValues" dxfId="388" priority="467"/>
    <cfRule type="duplicateValues" dxfId="389" priority="468"/>
    <cfRule type="duplicateValues" dxfId="390" priority="469"/>
    <cfRule type="duplicateValues" dxfId="391" priority="470"/>
    <cfRule type="duplicateValues" dxfId="384" priority="471"/>
    <cfRule type="duplicateValues" dxfId="393" priority="472"/>
    <cfRule type="duplicateValues" dxfId="394" priority="473"/>
    <cfRule type="duplicateValues" dxfId="395" priority="474"/>
    <cfRule type="duplicateValues" dxfId="385" priority="475"/>
    <cfRule type="duplicateValues" dxfId="386" priority="476"/>
    <cfRule type="duplicateValues" dxfId="387" priority="477"/>
    <cfRule type="duplicateValues" dxfId="392" priority="478"/>
  </conditionalFormatting>
  <conditionalFormatting sqref="C620">
    <cfRule type="duplicateValues" dxfId="380" priority="454"/>
    <cfRule type="duplicateValues" dxfId="381" priority="455"/>
    <cfRule type="duplicateValues" dxfId="382" priority="456"/>
    <cfRule type="duplicateValues" dxfId="383" priority="457"/>
    <cfRule type="duplicateValues" dxfId="373" priority="458"/>
    <cfRule type="duplicateValues" dxfId="374" priority="459"/>
    <cfRule type="duplicateValues" dxfId="375" priority="460"/>
    <cfRule type="duplicateValues" dxfId="376" priority="461"/>
    <cfRule type="duplicateValues" dxfId="379" priority="462"/>
    <cfRule type="duplicateValues" dxfId="377" priority="463"/>
    <cfRule type="duplicateValues" dxfId="378" priority="464"/>
  </conditionalFormatting>
  <conditionalFormatting sqref="C621">
    <cfRule type="duplicateValues" dxfId="372" priority="436"/>
    <cfRule type="duplicateValues" dxfId="371" priority="437"/>
    <cfRule type="duplicateValues" dxfId="369" priority="438"/>
    <cfRule type="duplicateValues" dxfId="370" priority="439"/>
  </conditionalFormatting>
  <conditionalFormatting sqref="C621:C628">
    <cfRule type="duplicateValues" dxfId="360" priority="416"/>
    <cfRule type="duplicateValues" dxfId="366" priority="440"/>
    <cfRule type="duplicateValues" dxfId="365" priority="441"/>
    <cfRule type="duplicateValues" dxfId="363" priority="442"/>
    <cfRule type="duplicateValues" dxfId="362" priority="443"/>
    <cfRule type="duplicateValues" dxfId="361" priority="444"/>
    <cfRule type="duplicateValues" dxfId="368" priority="445"/>
    <cfRule type="duplicateValues" dxfId="364" priority="446"/>
    <cfRule type="duplicateValues" dxfId="367" priority="447"/>
  </conditionalFormatting>
  <conditionalFormatting sqref="C622">
    <cfRule type="duplicateValues" dxfId="356" priority="431"/>
    <cfRule type="duplicateValues" dxfId="357" priority="432"/>
    <cfRule type="duplicateValues" dxfId="358" priority="433"/>
    <cfRule type="duplicateValues" dxfId="359" priority="434"/>
  </conditionalFormatting>
  <conditionalFormatting sqref="C623">
    <cfRule type="duplicateValues" dxfId="351" priority="425"/>
    <cfRule type="duplicateValues" dxfId="352" priority="426"/>
    <cfRule type="duplicateValues" dxfId="353" priority="427"/>
    <cfRule type="duplicateValues" dxfId="354" priority="428"/>
    <cfRule type="duplicateValues" dxfId="355" priority="429"/>
  </conditionalFormatting>
  <conditionalFormatting sqref="C624:C625">
    <cfRule type="duplicateValues" dxfId="350" priority="422"/>
    <cfRule type="duplicateValues" dxfId="349" priority="423"/>
  </conditionalFormatting>
  <conditionalFormatting sqref="C626">
    <cfRule type="duplicateValues" dxfId="348" priority="420"/>
  </conditionalFormatting>
  <conditionalFormatting sqref="C626:C628">
    <cfRule type="duplicateValues" dxfId="347" priority="449"/>
    <cfRule type="duplicateValues" dxfId="344" priority="450"/>
    <cfRule type="duplicateValues" dxfId="345" priority="451"/>
    <cfRule type="duplicateValues" dxfId="346" priority="452"/>
  </conditionalFormatting>
  <conditionalFormatting sqref="C627">
    <cfRule type="duplicateValues" dxfId="343" priority="419"/>
  </conditionalFormatting>
  <conditionalFormatting sqref="C628">
    <cfRule type="duplicateValues" dxfId="342" priority="418"/>
  </conditionalFormatting>
  <conditionalFormatting sqref="C629">
    <cfRule type="duplicateValues" dxfId="330" priority="404"/>
    <cfRule type="duplicateValues" dxfId="341" priority="405"/>
    <cfRule type="duplicateValues" dxfId="331" priority="406"/>
    <cfRule type="duplicateValues" dxfId="332" priority="407"/>
    <cfRule type="duplicateValues" dxfId="333" priority="408"/>
    <cfRule type="duplicateValues" dxfId="334" priority="409"/>
    <cfRule type="duplicateValues" dxfId="335" priority="410"/>
    <cfRule type="duplicateValues" dxfId="336" priority="411"/>
    <cfRule type="duplicateValues" dxfId="339" priority="412"/>
    <cfRule type="duplicateValues" dxfId="337" priority="413"/>
    <cfRule type="duplicateValues" dxfId="338" priority="414"/>
    <cfRule type="duplicateValues" dxfId="340" priority="415"/>
  </conditionalFormatting>
  <conditionalFormatting sqref="C630">
    <cfRule type="duplicateValues" dxfId="329" priority="400"/>
    <cfRule type="duplicateValues" dxfId="328" priority="401"/>
  </conditionalFormatting>
  <conditionalFormatting sqref="C631">
    <cfRule type="duplicateValues" dxfId="326" priority="397"/>
    <cfRule type="duplicateValues" dxfId="327" priority="398"/>
  </conditionalFormatting>
  <conditionalFormatting sqref="C632">
    <cfRule type="duplicateValues" dxfId="324" priority="394"/>
    <cfRule type="duplicateValues" dxfId="325" priority="395"/>
  </conditionalFormatting>
  <conditionalFormatting sqref="C633">
    <cfRule type="duplicateValues" dxfId="323" priority="388"/>
    <cfRule type="duplicateValues" dxfId="322" priority="389"/>
  </conditionalFormatting>
  <conditionalFormatting sqref="C634">
    <cfRule type="duplicateValues" dxfId="321" priority="391"/>
    <cfRule type="duplicateValues" dxfId="320" priority="392"/>
  </conditionalFormatting>
  <conditionalFormatting sqref="C635">
    <cfRule type="duplicateValues" dxfId="314" priority="373"/>
    <cfRule type="duplicateValues" dxfId="315" priority="374"/>
    <cfRule type="duplicateValues" dxfId="318" priority="375"/>
    <cfRule type="duplicateValues" dxfId="309" priority="376"/>
    <cfRule type="duplicateValues" dxfId="310" priority="377"/>
    <cfRule type="duplicateValues" dxfId="319" priority="378"/>
    <cfRule type="duplicateValues" dxfId="311" priority="379"/>
    <cfRule type="duplicateValues" dxfId="317" priority="380"/>
    <cfRule type="duplicateValues" dxfId="316" priority="381"/>
    <cfRule type="duplicateValues" dxfId="312" priority="382"/>
    <cfRule type="duplicateValues" dxfId="313" priority="384"/>
  </conditionalFormatting>
  <conditionalFormatting sqref="C636">
    <cfRule type="duplicateValues" dxfId="306" priority="361"/>
    <cfRule type="duplicateValues" dxfId="305" priority="362"/>
    <cfRule type="duplicateValues" dxfId="307" priority="363"/>
    <cfRule type="duplicateValues" dxfId="303" priority="364"/>
    <cfRule type="duplicateValues" dxfId="308" priority="365"/>
    <cfRule type="duplicateValues" dxfId="298" priority="366"/>
    <cfRule type="duplicateValues" dxfId="299" priority="367"/>
    <cfRule type="duplicateValues" dxfId="300" priority="368"/>
    <cfRule type="duplicateValues" dxfId="301" priority="369"/>
    <cfRule type="duplicateValues" dxfId="302" priority="370"/>
    <cfRule type="duplicateValues" dxfId="304" priority="371"/>
  </conditionalFormatting>
  <conditionalFormatting sqref="C637">
    <cfRule type="duplicateValues" dxfId="293" priority="352"/>
    <cfRule type="duplicateValues" dxfId="294" priority="353"/>
    <cfRule type="duplicateValues" dxfId="297" priority="354"/>
    <cfRule type="duplicateValues" dxfId="296" priority="355"/>
    <cfRule type="duplicateValues" dxfId="295" priority="356"/>
    <cfRule type="duplicateValues" dxfId="292" priority="357"/>
  </conditionalFormatting>
  <conditionalFormatting sqref="C638">
    <cfRule type="duplicateValues" dxfId="289" priority="345"/>
    <cfRule type="duplicateValues" dxfId="290" priority="346"/>
    <cfRule type="duplicateValues" dxfId="291" priority="347"/>
    <cfRule type="duplicateValues" dxfId="287" priority="348"/>
    <cfRule type="duplicateValues" dxfId="288" priority="349"/>
    <cfRule type="duplicateValues" dxfId="286" priority="350"/>
  </conditionalFormatting>
  <conditionalFormatting sqref="C639">
    <cfRule type="duplicateValues" dxfId="283" priority="338"/>
    <cfRule type="duplicateValues" dxfId="282" priority="339"/>
    <cfRule type="duplicateValues" dxfId="281" priority="340"/>
    <cfRule type="duplicateValues" dxfId="280" priority="341"/>
    <cfRule type="duplicateValues" dxfId="285" priority="342"/>
    <cfRule type="duplicateValues" dxfId="284" priority="343"/>
  </conditionalFormatting>
  <conditionalFormatting sqref="C640">
    <cfRule type="duplicateValues" dxfId="278" priority="331"/>
    <cfRule type="duplicateValues" dxfId="279" priority="332"/>
    <cfRule type="duplicateValues" dxfId="274" priority="333"/>
    <cfRule type="duplicateValues" dxfId="276" priority="334"/>
    <cfRule type="duplicateValues" dxfId="275" priority="335"/>
    <cfRule type="duplicateValues" dxfId="277" priority="336"/>
  </conditionalFormatting>
  <conditionalFormatting sqref="C641">
    <cfRule type="duplicateValues" dxfId="268" priority="324"/>
    <cfRule type="duplicateValues" dxfId="269" priority="325"/>
    <cfRule type="duplicateValues" dxfId="270" priority="326"/>
    <cfRule type="duplicateValues" dxfId="271" priority="327"/>
    <cfRule type="duplicateValues" dxfId="272" priority="328"/>
    <cfRule type="duplicateValues" dxfId="273" priority="329"/>
  </conditionalFormatting>
  <conditionalFormatting sqref="C642">
    <cfRule type="duplicateValues" dxfId="264" priority="319"/>
    <cfRule type="duplicateValues" dxfId="265" priority="320"/>
    <cfRule type="duplicateValues" dxfId="266" priority="321"/>
    <cfRule type="duplicateValues" dxfId="267" priority="322"/>
  </conditionalFormatting>
  <conditionalFormatting sqref="C643">
    <cfRule type="duplicateValues" dxfId="258" priority="312"/>
    <cfRule type="duplicateValues" dxfId="259" priority="313"/>
    <cfRule type="duplicateValues" dxfId="260" priority="314"/>
    <cfRule type="duplicateValues" dxfId="261" priority="315"/>
    <cfRule type="duplicateValues" dxfId="262" priority="316"/>
    <cfRule type="duplicateValues" dxfId="263" priority="317"/>
  </conditionalFormatting>
  <conditionalFormatting sqref="C644">
    <cfRule type="duplicateValues" dxfId="249" priority="300"/>
    <cfRule type="duplicateValues" dxfId="250" priority="301"/>
    <cfRule type="duplicateValues" dxfId="248" priority="302"/>
    <cfRule type="duplicateValues" dxfId="251" priority="303"/>
    <cfRule type="duplicateValues" dxfId="252" priority="304"/>
    <cfRule type="duplicateValues" dxfId="253" priority="305"/>
    <cfRule type="duplicateValues" dxfId="254" priority="306"/>
    <cfRule type="duplicateValues" dxfId="255" priority="307"/>
    <cfRule type="duplicateValues" dxfId="256" priority="308"/>
    <cfRule type="duplicateValues" dxfId="257" priority="309"/>
    <cfRule type="duplicateValues" dxfId="247" priority="310"/>
  </conditionalFormatting>
  <conditionalFormatting sqref="C645">
    <cfRule type="duplicateValues" dxfId="240" priority="289"/>
    <cfRule type="duplicateValues" dxfId="241" priority="291"/>
    <cfRule type="duplicateValues" dxfId="242" priority="292"/>
    <cfRule type="duplicateValues" dxfId="243" priority="293"/>
    <cfRule type="duplicateValues" dxfId="244" priority="294"/>
    <cfRule type="duplicateValues" dxfId="245" priority="295"/>
    <cfRule type="duplicateValues" dxfId="246" priority="296"/>
    <cfRule type="duplicateValues" dxfId="238" priority="297"/>
    <cfRule type="duplicateValues" dxfId="239" priority="298"/>
  </conditionalFormatting>
  <conditionalFormatting sqref="C646">
    <cfRule type="duplicateValues" dxfId="232" priority="282"/>
    <cfRule type="duplicateValues" dxfId="233" priority="283"/>
    <cfRule type="duplicateValues" dxfId="234" priority="284"/>
    <cfRule type="duplicateValues" dxfId="235" priority="285"/>
    <cfRule type="duplicateValues" dxfId="236" priority="286"/>
    <cfRule type="duplicateValues" dxfId="237" priority="287"/>
  </conditionalFormatting>
  <conditionalFormatting sqref="C647">
    <cfRule type="duplicateValues" dxfId="230" priority="275"/>
    <cfRule type="duplicateValues" dxfId="231" priority="276"/>
    <cfRule type="duplicateValues" dxfId="226" priority="277"/>
    <cfRule type="duplicateValues" dxfId="227" priority="278"/>
    <cfRule type="duplicateValues" dxfId="228" priority="279"/>
    <cfRule type="duplicateValues" dxfId="229" priority="280"/>
  </conditionalFormatting>
  <conditionalFormatting sqref="C648">
    <cfRule type="duplicateValues" dxfId="221" priority="268"/>
    <cfRule type="duplicateValues" dxfId="220" priority="269"/>
    <cfRule type="duplicateValues" dxfId="225" priority="270"/>
    <cfRule type="duplicateValues" dxfId="224" priority="271"/>
    <cfRule type="duplicateValues" dxfId="222" priority="272"/>
    <cfRule type="duplicateValues" dxfId="223" priority="273"/>
  </conditionalFormatting>
  <conditionalFormatting sqref="C649">
    <cfRule type="duplicateValues" dxfId="215" priority="262"/>
    <cfRule type="duplicateValues" dxfId="219" priority="263"/>
    <cfRule type="duplicateValues" dxfId="218" priority="264"/>
    <cfRule type="duplicateValues" dxfId="217" priority="265"/>
    <cfRule type="duplicateValues" dxfId="216" priority="266"/>
  </conditionalFormatting>
  <conditionalFormatting sqref="C650">
    <cfRule type="duplicateValues" dxfId="206" priority="248"/>
    <cfRule type="duplicateValues" dxfId="207" priority="249"/>
    <cfRule type="duplicateValues" dxfId="208" priority="250"/>
    <cfRule type="duplicateValues" dxfId="209" priority="251"/>
    <cfRule type="duplicateValues" dxfId="210" priority="252"/>
    <cfRule type="duplicateValues" dxfId="211" priority="253"/>
    <cfRule type="duplicateValues" dxfId="212" priority="254"/>
    <cfRule type="duplicateValues" dxfId="213" priority="255"/>
    <cfRule type="duplicateValues" dxfId="214" priority="256"/>
    <cfRule type="duplicateValues" dxfId="205" priority="257"/>
    <cfRule type="duplicateValues" dxfId="204" priority="259"/>
  </conditionalFormatting>
  <conditionalFormatting sqref="C651">
    <cfRule type="duplicateValues" dxfId="194" priority="233"/>
    <cfRule type="duplicateValues" dxfId="195" priority="234"/>
    <cfRule type="duplicateValues" dxfId="196" priority="235"/>
    <cfRule type="duplicateValues" dxfId="197" priority="236"/>
    <cfRule type="duplicateValues" dxfId="193" priority="237"/>
    <cfRule type="duplicateValues" dxfId="198" priority="238"/>
    <cfRule type="duplicateValues" dxfId="199" priority="239"/>
    <cfRule type="duplicateValues" dxfId="200" priority="240"/>
    <cfRule type="duplicateValues" dxfId="201" priority="241"/>
    <cfRule type="duplicateValues" dxfId="202" priority="242"/>
    <cfRule type="duplicateValues" dxfId="203" priority="244"/>
  </conditionalFormatting>
  <conditionalFormatting sqref="C652">
    <cfRule type="duplicateValues" dxfId="189" priority="218"/>
    <cfRule type="duplicateValues" dxfId="190" priority="219"/>
    <cfRule type="duplicateValues" dxfId="191" priority="220"/>
    <cfRule type="duplicateValues" dxfId="192" priority="221"/>
    <cfRule type="duplicateValues" dxfId="182" priority="222"/>
    <cfRule type="duplicateValues" dxfId="187" priority="223"/>
    <cfRule type="duplicateValues" dxfId="188" priority="224"/>
    <cfRule type="duplicateValues" dxfId="186" priority="225"/>
    <cfRule type="duplicateValues" dxfId="185" priority="226"/>
    <cfRule type="duplicateValues" dxfId="184" priority="227"/>
    <cfRule type="duplicateValues" dxfId="183" priority="229"/>
  </conditionalFormatting>
  <conditionalFormatting sqref="C653">
    <cfRule type="duplicateValues" dxfId="179" priority="203"/>
    <cfRule type="duplicateValues" dxfId="180" priority="204"/>
    <cfRule type="duplicateValues" dxfId="181" priority="205"/>
    <cfRule type="duplicateValues" dxfId="172" priority="206"/>
    <cfRule type="duplicateValues" dxfId="171" priority="207"/>
    <cfRule type="duplicateValues" dxfId="174" priority="208"/>
    <cfRule type="duplicateValues" dxfId="175" priority="209"/>
    <cfRule type="duplicateValues" dxfId="176" priority="210"/>
    <cfRule type="duplicateValues" dxfId="177" priority="211"/>
    <cfRule type="duplicateValues" dxfId="178" priority="212"/>
    <cfRule type="duplicateValues" dxfId="173" priority="214"/>
  </conditionalFormatting>
  <conditionalFormatting sqref="C654">
    <cfRule type="duplicateValues" dxfId="161" priority="188"/>
    <cfRule type="duplicateValues" dxfId="162" priority="189"/>
    <cfRule type="duplicateValues" dxfId="163" priority="190"/>
    <cfRule type="duplicateValues" dxfId="164" priority="191"/>
    <cfRule type="duplicateValues" dxfId="165" priority="192"/>
    <cfRule type="duplicateValues" dxfId="166" priority="193"/>
    <cfRule type="duplicateValues" dxfId="167" priority="194"/>
    <cfRule type="duplicateValues" dxfId="168" priority="195"/>
    <cfRule type="duplicateValues" dxfId="169" priority="196"/>
    <cfRule type="duplicateValues" dxfId="170" priority="197"/>
    <cfRule type="duplicateValues" dxfId="160" priority="199"/>
  </conditionalFormatting>
  <conditionalFormatting sqref="C655">
    <cfRule type="duplicateValues" dxfId="150" priority="173"/>
    <cfRule type="duplicateValues" dxfId="151" priority="174"/>
    <cfRule type="duplicateValues" dxfId="152" priority="175"/>
    <cfRule type="duplicateValues" dxfId="153" priority="176"/>
    <cfRule type="duplicateValues" dxfId="154" priority="177"/>
    <cfRule type="duplicateValues" dxfId="155" priority="178"/>
    <cfRule type="duplicateValues" dxfId="156" priority="179"/>
    <cfRule type="duplicateValues" dxfId="157" priority="180"/>
    <cfRule type="duplicateValues" dxfId="158" priority="181"/>
    <cfRule type="duplicateValues" dxfId="159" priority="182"/>
    <cfRule type="duplicateValues" dxfId="149" priority="184"/>
  </conditionalFormatting>
  <conditionalFormatting sqref="C656">
    <cfRule type="duplicateValues" dxfId="138" priority="158"/>
    <cfRule type="duplicateValues" dxfId="139" priority="159"/>
    <cfRule type="duplicateValues" dxfId="140" priority="160"/>
    <cfRule type="duplicateValues" dxfId="141" priority="161"/>
    <cfRule type="duplicateValues" dxfId="142" priority="162"/>
    <cfRule type="duplicateValues" dxfId="143" priority="163"/>
    <cfRule type="duplicateValues" dxfId="144" priority="164"/>
    <cfRule type="duplicateValues" dxfId="145" priority="165"/>
    <cfRule type="duplicateValues" dxfId="146" priority="166"/>
    <cfRule type="duplicateValues" dxfId="147" priority="167"/>
    <cfRule type="duplicateValues" dxfId="148" priority="169"/>
  </conditionalFormatting>
  <conditionalFormatting sqref="C657">
    <cfRule type="duplicateValues" dxfId="128" priority="143"/>
    <cfRule type="duplicateValues" dxfId="129" priority="144"/>
    <cfRule type="duplicateValues" dxfId="130" priority="145"/>
    <cfRule type="duplicateValues" dxfId="131" priority="146"/>
    <cfRule type="duplicateValues" dxfId="132" priority="147"/>
    <cfRule type="duplicateValues" dxfId="133" priority="148"/>
    <cfRule type="duplicateValues" dxfId="134" priority="149"/>
    <cfRule type="duplicateValues" dxfId="135" priority="150"/>
    <cfRule type="duplicateValues" dxfId="136" priority="151"/>
    <cfRule type="duplicateValues" dxfId="137" priority="152"/>
    <cfRule type="duplicateValues" dxfId="127" priority="154"/>
  </conditionalFormatting>
  <conditionalFormatting sqref="C658">
    <cfRule type="duplicateValues" dxfId="118" priority="128"/>
    <cfRule type="duplicateValues" dxfId="119" priority="129"/>
    <cfRule type="duplicateValues" dxfId="120" priority="132"/>
    <cfRule type="duplicateValues" dxfId="121" priority="133"/>
    <cfRule type="duplicateValues" dxfId="122" priority="134"/>
    <cfRule type="duplicateValues" dxfId="123" priority="135"/>
    <cfRule type="duplicateValues" dxfId="124" priority="136"/>
    <cfRule type="duplicateValues" dxfId="125" priority="137"/>
    <cfRule type="duplicateValues" dxfId="126" priority="138"/>
    <cfRule type="duplicateValues" dxfId="117" priority="139"/>
  </conditionalFormatting>
  <conditionalFormatting sqref="C659">
    <cfRule type="duplicateValues" dxfId="115" priority="123"/>
    <cfRule type="duplicateValues" dxfId="116" priority="125"/>
  </conditionalFormatting>
  <conditionalFormatting sqref="C660">
    <cfRule type="duplicateValues" dxfId="114" priority="111"/>
  </conditionalFormatting>
  <conditionalFormatting sqref="C660:C661">
    <cfRule type="duplicateValues" dxfId="108" priority="114"/>
    <cfRule type="duplicateValues" dxfId="109" priority="115"/>
    <cfRule type="duplicateValues" dxfId="110" priority="116"/>
    <cfRule type="duplicateValues" dxfId="107" priority="117"/>
    <cfRule type="duplicateValues" dxfId="111" priority="118"/>
    <cfRule type="duplicateValues" dxfId="112" priority="119"/>
    <cfRule type="duplicateValues" dxfId="113" priority="120"/>
    <cfRule type="duplicateValues" dxfId="106" priority="121"/>
  </conditionalFormatting>
  <conditionalFormatting sqref="C661">
    <cfRule type="duplicateValues" dxfId="105" priority="112"/>
  </conditionalFormatting>
  <conditionalFormatting sqref="C662">
    <cfRule type="duplicateValues" dxfId="96" priority="100"/>
    <cfRule type="duplicateValues" dxfId="99" priority="102"/>
    <cfRule type="duplicateValues" dxfId="102" priority="104"/>
    <cfRule type="duplicateValues" dxfId="103" priority="105"/>
    <cfRule type="duplicateValues" dxfId="97" priority="106"/>
    <cfRule type="duplicateValues" dxfId="98" priority="107"/>
    <cfRule type="duplicateValues" dxfId="104" priority="108"/>
    <cfRule type="duplicateValues" dxfId="101" priority="109"/>
    <cfRule type="duplicateValues" dxfId="100" priority="110"/>
  </conditionalFormatting>
  <conditionalFormatting sqref="C663">
    <cfRule type="duplicateValues" dxfId="84" priority="86"/>
    <cfRule type="duplicateValues" dxfId="85" priority="89"/>
    <cfRule type="duplicateValues" dxfId="95" priority="90"/>
    <cfRule type="duplicateValues" dxfId="94" priority="91"/>
    <cfRule type="duplicateValues" dxfId="93" priority="92"/>
    <cfRule type="duplicateValues" dxfId="92" priority="93"/>
    <cfRule type="duplicateValues" dxfId="86" priority="94"/>
    <cfRule type="duplicateValues" dxfId="91" priority="95"/>
    <cfRule type="duplicateValues" dxfId="90" priority="96"/>
    <cfRule type="duplicateValues" dxfId="89" priority="97"/>
    <cfRule type="duplicateValues" dxfId="88" priority="98"/>
    <cfRule type="duplicateValues" dxfId="87" priority="99"/>
  </conditionalFormatting>
  <conditionalFormatting sqref="C664">
    <cfRule type="duplicateValues" dxfId="72" priority="72"/>
    <cfRule type="duplicateValues" dxfId="73" priority="74"/>
    <cfRule type="duplicateValues" dxfId="74" priority="75"/>
    <cfRule type="duplicateValues" dxfId="75" priority="76"/>
    <cfRule type="duplicateValues" dxfId="76" priority="78"/>
    <cfRule type="duplicateValues" dxfId="83" priority="79"/>
    <cfRule type="duplicateValues" dxfId="77" priority="80"/>
    <cfRule type="duplicateValues" dxfId="78" priority="81"/>
    <cfRule type="duplicateValues" dxfId="79" priority="82"/>
    <cfRule type="duplicateValues" dxfId="80" priority="83"/>
    <cfRule type="duplicateValues" dxfId="82" priority="84"/>
    <cfRule type="duplicateValues" dxfId="81" priority="85"/>
  </conditionalFormatting>
  <conditionalFormatting sqref="C665">
    <cfRule type="duplicateValues" dxfId="66" priority="59"/>
    <cfRule type="duplicateValues" dxfId="65" priority="62"/>
    <cfRule type="duplicateValues" dxfId="68" priority="63"/>
    <cfRule type="duplicateValues" dxfId="69" priority="64"/>
    <cfRule type="duplicateValues" dxfId="70" priority="65"/>
    <cfRule type="duplicateValues" dxfId="71" priority="66"/>
    <cfRule type="duplicateValues" dxfId="63" priority="67"/>
    <cfRule type="duplicateValues" dxfId="67" priority="68"/>
    <cfRule type="duplicateValues" dxfId="64" priority="69"/>
    <cfRule type="duplicateValues" dxfId="61" priority="70"/>
    <cfRule type="duplicateValues" dxfId="62" priority="71"/>
  </conditionalFormatting>
  <conditionalFormatting sqref="C666">
    <cfRule type="duplicateValues" dxfId="49" priority="43"/>
    <cfRule type="duplicateValues" dxfId="50" priority="45"/>
    <cfRule type="duplicateValues" dxfId="54" priority="47"/>
    <cfRule type="duplicateValues" dxfId="51" priority="48"/>
    <cfRule type="duplicateValues" dxfId="52" priority="49"/>
    <cfRule type="duplicateValues" dxfId="53" priority="50"/>
    <cfRule type="duplicateValues" dxfId="48" priority="51"/>
    <cfRule type="duplicateValues" dxfId="55" priority="52"/>
    <cfRule type="duplicateValues" dxfId="57" priority="53"/>
    <cfRule type="duplicateValues" dxfId="47" priority="54"/>
    <cfRule type="duplicateValues" dxfId="56" priority="55"/>
    <cfRule type="duplicateValues" dxfId="59" priority="56"/>
    <cfRule type="duplicateValues" dxfId="58" priority="57"/>
    <cfRule type="duplicateValues" dxfId="60" priority="58"/>
  </conditionalFormatting>
  <conditionalFormatting sqref="C667">
    <cfRule type="duplicateValues" dxfId="42" priority="30"/>
    <cfRule type="duplicateValues" dxfId="41" priority="32"/>
    <cfRule type="duplicateValues" dxfId="43" priority="33"/>
    <cfRule type="duplicateValues" dxfId="40" priority="34"/>
    <cfRule type="duplicateValues" dxfId="39" priority="35"/>
    <cfRule type="duplicateValues" dxfId="38" priority="36"/>
    <cfRule type="duplicateValues" dxfId="46" priority="37"/>
    <cfRule type="duplicateValues" dxfId="45" priority="38"/>
    <cfRule type="duplicateValues" dxfId="44" priority="39"/>
  </conditionalFormatting>
  <conditionalFormatting sqref="C668">
    <cfRule type="duplicateValues" dxfId="37" priority="24"/>
  </conditionalFormatting>
  <conditionalFormatting sqref="C669:C670">
    <cfRule type="duplicateValues" dxfId="36" priority="9"/>
    <cfRule type="duplicateValues" dxfId="34" priority="10"/>
    <cfRule type="duplicateValues" dxfId="26" priority="11"/>
    <cfRule type="duplicateValues" dxfId="27" priority="12"/>
    <cfRule type="duplicateValues" dxfId="28" priority="13"/>
    <cfRule type="duplicateValues" dxfId="29" priority="14"/>
    <cfRule type="duplicateValues" dxfId="30" priority="15"/>
    <cfRule type="duplicateValues" dxfId="31" priority="16"/>
    <cfRule type="duplicateValues" dxfId="32" priority="17"/>
    <cfRule type="duplicateValues" dxfId="33" priority="18"/>
    <cfRule type="duplicateValues" dxfId="35" priority="20"/>
  </conditionalFormatting>
  <conditionalFormatting sqref="C683 C700:C1048576 C581:C595 C327:C332 C13:C19 C56:C88 C27:C29 C37:C54 C90:C100 C104:C163 C102 C167:C199 C201:C224 C246:C250 C266:C276 C334:C373 C278:C302 C21:C25 C31:C35 C252:C263 C304:C309 C311:C325 C375:C377 C379 C381:C475 C477:C498 C500:C537 C539:C551 C553:C579 C1:C11 C226:C243">
    <cfRule type="duplicateValues" dxfId="25" priority="3047"/>
  </conditionalFormatting>
  <conditionalFormatting sqref="C683">
    <cfRule type="duplicateValues" dxfId="18" priority="2711"/>
    <cfRule type="duplicateValues" dxfId="15" priority="2712"/>
    <cfRule type="duplicateValues" dxfId="19" priority="2713"/>
    <cfRule type="duplicateValues" dxfId="17" priority="2714"/>
    <cfRule type="duplicateValues" dxfId="16" priority="2715"/>
    <cfRule type="duplicateValues" dxfId="24" priority="2716"/>
    <cfRule type="duplicateValues" dxfId="23" priority="2717"/>
    <cfRule type="duplicateValues" dxfId="22" priority="2718"/>
    <cfRule type="duplicateValues" dxfId="21" priority="2719"/>
    <cfRule type="duplicateValues" dxfId="20" priority="2720"/>
  </conditionalFormatting>
  <conditionalFormatting sqref="C685:C698">
    <cfRule type="duplicateValues" dxfId="14" priority="5"/>
  </conditionalFormatting>
  <conditionalFormatting sqref="C687 C685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C707:C1048576 C581:C595 C700 C481:C482 C470:C471 C259 C186:C188 C122 C56:C57 C131:C163 C179:C184 C190:C199 C261:C263 C293 C329:C332 C60:C69 C202:C224 C2:C11 C13:C19 C27:C29 C37:C48 C167:C177 C266:C268 C334:C363 C21:C25 C31:C35">
    <cfRule type="duplicateValues" dxfId="7" priority="2985"/>
    <cfRule type="duplicateValues" dxfId="8" priority="2986"/>
    <cfRule type="duplicateValues" dxfId="9" priority="2987"/>
  </conditionalFormatting>
  <conditionalFormatting sqref="C707:C1048576 C581:C595 C700 C481:C482 C470:C471 C259 C186:C188 C131:C163 C179:C184 C190:C199 C261:C263 C293 C329:C332 C202:C224 C2:C11 C13:C19 C27:C29 C37:C46 C167:C177 C266:C268 C334:C363 C21:C25 C31:C35">
    <cfRule type="duplicateValues" dxfId="4" priority="2982"/>
    <cfRule type="duplicateValues" dxfId="5" priority="2983"/>
    <cfRule type="duplicateValues" dxfId="6" priority="2984"/>
  </conditionalFormatting>
  <conditionalFormatting sqref="C707:C1048576 C581:C595 C700 C481:C482 C470:C471 C259 C186:C188 C147:C163 C16 C182 C190:C199 C261:C263 C293 C329:C332 C202:C224 C167:C177 C266:C268 C334:C363">
    <cfRule type="duplicateValues" dxfId="3" priority="2988"/>
  </conditionalFormatting>
  <conditionalFormatting sqref="C707:C1048576 C581:C595 C700 C481:C482 C470:C471 C259 C186:C188 C147:C163 C16:C19 C181:C184 C190:C199 C261:C263 C293 C329:C332 C202:C224 C27:C29 C167:C177 C266:C268 C334:C363 C21:C25">
    <cfRule type="duplicateValues" dxfId="2" priority="2989"/>
  </conditionalFormatting>
  <conditionalFormatting sqref="C707:C1048576 C581:C595 C700 C481:C482 C470:C471 C259 C186:C188 C147:C163 C182 C16 C190:C199 C261:C263 C293 C329:C332 C202:C224 C167:C177 C266:C268 C334:C363">
    <cfRule type="duplicateValues" dxfId="1" priority="2990"/>
  </conditionalFormatting>
  <conditionalFormatting sqref="C707:C1048576 C683 C581:C595 C700 C481:C482 C470:C471 C259:C263 C293 C329:C332 C202:C224 C2:C11 C13:C19 C56:C88 C27:C29 C37:C54 C90:C100 C104:C163 C102 C167:C199 C246:C250 C266:C268 C334:C363 C21:C25 C31:C35 C252:C255 C226:C243">
    <cfRule type="duplicateValues" dxfId="0" priority="30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A. Asamoah</dc:creator>
  <cp:lastModifiedBy>Eric A. Asamoah</cp:lastModifiedBy>
  <dcterms:created xsi:type="dcterms:W3CDTF">2026-08-10T11:55:54Z</dcterms:created>
  <dcterms:modified xsi:type="dcterms:W3CDTF">2026-08-10T11:56:13Z</dcterms:modified>
</cp:coreProperties>
</file>